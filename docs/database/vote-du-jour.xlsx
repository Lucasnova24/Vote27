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Vote du jour" sheetId="2" state="visible" r:id="rId4"/>
    <sheet name="Choix de vote" sheetId="3" state="visible" r:id="rId5"/>
    <sheet name="Votes (table)" sheetId="4" state="visible" r:id="rId6"/>
    <sheet name="Résultats par jou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<sst xmlns="http://schemas.openxmlformats.org/spreadsheetml/2006/main" count="517" uniqueCount="71">
  <si>
    <t xml:space="preserve">Base de données — Vote du jour</t>
  </si>
  <si>
    <t xml:space="preserve">Vote2027 — une question par jour, du 23/09/2026 au 2 mai 2027 (2nd tour)</t>
  </si>
  <si>
    <t xml:space="preserve">Onglets</t>
  </si>
  <si>
    <t xml:space="preserve">Vote du jour</t>
  </si>
  <si>
    <t xml:space="preserve">1 ligne par jour de campagne : la question posée ce jour-là (catégorie fixe « Vote du jour »).</t>
  </si>
  <si>
    <t xml:space="preserve">Choix de vote</t>
  </si>
  <si>
    <t xml:space="preserve">Table de référence des 3 réponses possibles : Oui / Non / Blanc.</t>
  </si>
  <si>
    <t xml:space="preserve">Votes (table)</t>
  </si>
  <si>
    <t xml:space="preserve">Structure des votes individuels des utilisateurs (1 ligne par vote émis). Colonnes prêtes pour Supabase.</t>
  </si>
  <si>
    <t xml:space="preserve">Résultats par jour</t>
  </si>
  <si>
    <t xml:space="preserve">Dépouillement automatique (formules COUNTIFS) du nombre de Oui / Non / Blanc pour chaque jour.</t>
  </si>
  <si>
    <t xml:space="preserve">Comment l'utiliser</t>
  </si>
  <si>
    <t xml:space="preserve">1.</t>
  </si>
  <si>
    <t xml:space="preserve">Dans l'onglet « Vote du jour », remplissez la colonne F (Question) pour chaque date — les cellules jaunes sont à compléter.</t>
  </si>
  <si>
    <t xml:space="preserve">2.</t>
  </si>
  <si>
    <t xml:space="preserve">La colonne « Thème » propose une rotation des thèmes déjà utilisés dans l'app (src/data.ts) ; modifiez-la librement.</t>
  </si>
  <si>
    <t xml:space="preserve">Les 3 premières questions (23-25/09) sont des exemples de formulation, en italique gris — à remplacer comme les autres.</t>
  </si>
  <si>
    <t xml:space="preserve">3.</t>
  </si>
  <si>
    <t xml:space="preserve">L'onglet « Votes (table) » illustre la structure attendue pour enregistrer un vote (1 ligne = 1 vote) ; la ligne 2 est un exemple, à supprimer avant import réel.</t>
  </si>
  <si>
    <t xml:space="preserve">4.</t>
  </si>
  <si>
    <t xml:space="preserve">Une fois le contenu validé, cette structure sert de base à deux tables Supabase : public.daily_questions et public.votes (voir note en bas de l'onglet « Votes (table) »).</t>
  </si>
  <si>
    <t xml:space="preserve">Légende</t>
  </si>
  <si>
    <t xml:space="preserve">Jaune</t>
  </si>
  <si>
    <t xml:space="preserve">Cellule à compléter par vous.</t>
  </si>
  <si>
    <t xml:space="preserve">Noir</t>
  </si>
  <si>
    <t xml:space="preserve">Cellule calculée automatiquement (formule) — ne pas modifier.</t>
  </si>
  <si>
    <t xml:space="preserve">id</t>
  </si>
  <si>
    <t xml:space="preserve">date</t>
  </si>
  <si>
    <t xml:space="preserve">jour_semaine</t>
  </si>
  <si>
    <t xml:space="preserve">categorie</t>
  </si>
  <si>
    <t xml:space="preserve">theme</t>
  </si>
  <si>
    <t xml:space="preserve">question</t>
  </si>
  <si>
    <t xml:space="preserve">statut</t>
  </si>
  <si>
    <t xml:space="preserve">Institutions</t>
  </si>
  <si>
    <t xml:space="preserve">Faut-il rendre le vote obligatoire à toutes les élections nationales ?</t>
  </si>
  <si>
    <t xml:space="preserve">Économie</t>
  </si>
  <si>
    <t xml:space="preserve">Faut-il indexer les salaires sur l'inflation ?</t>
  </si>
  <si>
    <t xml:space="preserve">Écologie</t>
  </si>
  <si>
    <t xml:space="preserve">La France doit-elle interdire la vente de voitures thermiques neuves dès 2030 ?</t>
  </si>
  <si>
    <t xml:space="preserve">Europe</t>
  </si>
  <si>
    <t xml:space="preserve">Social</t>
  </si>
  <si>
    <t xml:space="preserve">Sécurité</t>
  </si>
  <si>
    <t xml:space="preserve">choix</t>
  </si>
  <si>
    <t xml:space="preserve">libellé</t>
  </si>
  <si>
    <t xml:space="preserve">description</t>
  </si>
  <si>
    <t xml:space="preserve">couleur</t>
  </si>
  <si>
    <t xml:space="preserve">oui</t>
  </si>
  <si>
    <t xml:space="preserve">Oui</t>
  </si>
  <si>
    <t xml:space="preserve">L'utilisateur approuve la question du jour.</t>
  </si>
  <si>
    <t xml:space="preserve">#1F7A3E</t>
  </si>
  <si>
    <t xml:space="preserve">non</t>
  </si>
  <si>
    <t xml:space="preserve">Non</t>
  </si>
  <si>
    <t xml:space="preserve">L'utilisateur désapprouve la question du jour.</t>
  </si>
  <si>
    <t xml:space="preserve">#C8341C</t>
  </si>
  <si>
    <t xml:space="preserve">blanc</t>
  </si>
  <si>
    <t xml:space="preserve">Blanc</t>
  </si>
  <si>
    <t xml:space="preserve">Vote blanc : l'utilisateur participe sans se prononcer.</t>
  </si>
  <si>
    <t xml:space="preserve">#B4B0A3</t>
  </si>
  <si>
    <t xml:space="preserve">vote_id</t>
  </si>
  <si>
    <t xml:space="preserve">question_id</t>
  </si>
  <si>
    <t xml:space="preserve">user_id</t>
  </si>
  <si>
    <t xml:space="preserve">horodatage</t>
  </si>
  <si>
    <t xml:space="preserve">8f14e45f-ceea-467e-9575-0000-000000000001</t>
  </si>
  <si>
    <t xml:space="preserve">23/09/2026 09:12</t>
  </si>
  <si>
    <t xml:space="preserve">◄ exemple — à supprimer avant import réel</t>
  </si>
  <si>
    <t xml:space="preserve">Correspondance avec le schéma Supabase (supabase/schema.sql)</t>
  </si>
  <si>
    <t xml:space="preserve">• question_id → clé étrangère vers public.daily_questions(id), la table dérivée de l'onglet « Vote du jour ».</t>
  </si>
  <si>
    <t xml:space="preserve">• user_id → clé étrangère vers public.profiles(id), comme les autres tables du schéma (votes, quiz_attempts, ...).</t>
  </si>
  <si>
    <t xml:space="preserve">• choix → contrainte check (choix in ('oui','non','blanc')) ; remplace la contrainte actuelle ('oui','non') de public.votes.</t>
  </si>
  <si>
    <t xml:space="preserve">• Clé primaire recommandée : (user_id, question_id) — un seul vote par utilisateur et par question, avec RLS "owner all" comme les autres tables.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</si>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</sst>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B4FD8"/>
        <bgColor rgb="FF333399"/>
      </patternFill>
    </fill>
    <fill>
      <patternFill patternType="solid">
        <fgColor rgb="FF1F7A3E"/>
        <bgColor rgb="FF008080"/>
      </patternFill>
    </fill>
    <fill>
      <patternFill patternType="solid">
        <fgColor rgb="FFC8341C"/>
        <bgColor rgb="FF993366"/>
      </patternFill>
    </fill>
    <fill>
      <patternFill patternType="solid">
        <fgColor rgb="FFB4B0A3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3E"/>
      <rgbColor rgb="FF000080"/>
      <rgbColor rgb="FF808000"/>
      <rgbColor rgb="FF800080"/>
      <rgbColor rgb="FF008080"/>
      <rgbColor rgb="FFB4B0A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4FD8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834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0" hidden="false" customHeight="true" outlineLevel="0" collapsed="false">
      <c r="B5" s="3"/>
      <c r="C5" s="4"/>
    </row>
    <row r="6" customFormat="false" ht="30" hidden="false" customHeight="true" outlineLevel="0" collapsed="false">
      <c r="B6" s="5" t="s">
        <v>2</v>
      </c>
      <c r="C6" s="4"/>
    </row>
    <row r="7" customFormat="false" ht="30" hidden="false" customHeight="true" outlineLevel="0" collapsed="false">
      <c r="B7" s="3" t="s">
        <v>3</v>
      </c>
      <c r="C7" s="4" t="s">
        <v>4</v>
      </c>
    </row>
    <row r="8" customFormat="false" ht="30" hidden="false" customHeight="true" outlineLevel="0" collapsed="false">
      <c r="B8" s="3" t="s">
        <v>5</v>
      </c>
      <c r="C8" s="4" t="s">
        <v>6</v>
      </c>
    </row>
    <row r="9" customFormat="false" ht="30" hidden="false" customHeight="true" outlineLevel="0" collapsed="false">
      <c r="B9" s="6" t="s">
        <v>7</v>
      </c>
      <c r="C9" s="4" t="s">
        <v>8</v>
      </c>
    </row>
    <row r="10" customFormat="false" ht="30" hidden="false" customHeight="true" outlineLevel="0" collapsed="false">
      <c r="B10" s="3" t="s">
        <v>9</v>
      </c>
      <c r="C10" s="4" t="s">
        <v>10</v>
      </c>
    </row>
    <row r="11" customFormat="false" ht="30" hidden="false" customHeight="true" outlineLevel="0" collapsed="false">
      <c r="B11" s="3"/>
      <c r="C11" s="4"/>
    </row>
    <row r="12" customFormat="false" ht="30" hidden="false" customHeight="true" outlineLevel="0" collapsed="false">
      <c r="B12" s="5" t="s">
        <v>11</v>
      </c>
      <c r="C12" s="4"/>
    </row>
    <row r="13" customFormat="false" ht="30" hidden="false" customHeight="true" outlineLevel="0" collapsed="false">
      <c r="B13" s="3" t="s">
        <v>12</v>
      </c>
      <c r="C13" s="4" t="s">
        <v>13</v>
      </c>
    </row>
    <row r="14" customFormat="false" ht="30" hidden="false" customHeight="true" outlineLevel="0" collapsed="false">
      <c r="B14" s="3" t="s">
        <v>14</v>
      </c>
      <c r="C14" s="4" t="s">
        <v>15</v>
      </c>
    </row>
    <row r="15" customFormat="false" ht="30" hidden="false" customHeight="true" outlineLevel="0" collapsed="false">
      <c r="B15" s="3"/>
      <c r="C15" s="4" t="s">
        <v>16</v>
      </c>
    </row>
    <row r="16" customFormat="false" ht="30" hidden="false" customHeight="true" outlineLevel="0" collapsed="false">
      <c r="B16" s="3" t="s">
        <v>17</v>
      </c>
      <c r="C16" s="4" t="s">
        <v>18</v>
      </c>
    </row>
    <row r="17" customFormat="false" ht="30" hidden="false" customHeight="true" outlineLevel="0" collapsed="false">
      <c r="B17" s="3" t="s">
        <v>19</v>
      </c>
      <c r="C17" s="4" t="s">
        <v>20</v>
      </c>
    </row>
    <row r="18" customFormat="false" ht="30" hidden="false" customHeight="true" outlineLevel="0" collapsed="false">
      <c r="B18" s="3"/>
      <c r="C18" s="4"/>
    </row>
    <row r="19" customFormat="false" ht="30" hidden="false" customHeight="true" outlineLevel="0" collapsed="false">
      <c r="B19" s="5" t="s">
        <v>21</v>
      </c>
      <c r="C19" s="4"/>
    </row>
    <row r="20" customFormat="false" ht="30" hidden="false" customHeight="true" outlineLevel="0" collapsed="false">
      <c r="B20" s="6" t="s">
        <v>22</v>
      </c>
      <c r="C20" s="4" t="s">
        <v>23</v>
      </c>
    </row>
    <row r="21" customFormat="false" ht="30" hidden="false" customHeight="true" outlineLevel="0" collapsed="false">
      <c r="B21" s="3" t="s">
        <v>24</v>
      </c>
      <c r="C21" s="4" t="s">
        <v>25</v>
      </c>
    </row>
    <row r="22" customFormat="false" ht="30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6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7" t="s">
        <v>26</v>
      </c>
      <c r="B1" s="7" t="s">
        <v>27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</row>
    <row r="2" customFormat="false" ht="15" hidden="false" customHeight="false" outlineLevel="0" collapsed="false">
      <c r="A2" s="8" t="n">
        <v>1</v>
      </c>
      <c r="B2" s="9" t="n">
        <v>46288</v>
      </c>
      <c r="C2" s="8" t="str">
        <f aca="false">CHOOSE(WEEKDAY(B2,2),"Lundi","Mardi","Mercredi","Jeudi","Vendredi","Samedi","Dimanche")</f>
        <v>Mercredi</v>
      </c>
      <c r="D2" s="8" t="s">
        <v>3</v>
      </c>
      <c r="E2" s="8" t="s">
        <v>33</v>
      </c>
      <c r="F2" s="10" t="s">
        <v>34</v>
      </c>
      <c r="G2" s="8" t="str">
        <f aca="true">IF(B2&lt;TODAY(),"Passé",IF(B2=TODAY(),"Aujourd'hui","À venir"))</f>
        <v>Aujourd'hui</v>
      </c>
    </row>
    <row r="3" customFormat="false" ht="15" hidden="false" customHeight="false" outlineLevel="0" collapsed="false">
      <c r="A3" s="8" t="n">
        <v>2</v>
      </c>
      <c r="B3" s="9" t="n">
        <v>46289</v>
      </c>
      <c r="C3" s="8" t="str">
        <f aca="false">CHOOSE(WEEKDAY(B3,2),"Lundi","Mardi","Mercredi","Jeudi","Vendredi","Samedi","Dimanche")</f>
        <v>Jeudi</v>
      </c>
      <c r="D3" s="8" t="s">
        <v>3</v>
      </c>
      <c r="E3" s="8" t="s">
        <v>35</v>
      </c>
      <c r="F3" s="10" t="s">
        <v>36</v>
      </c>
      <c r="G3" s="8" t="str">
        <f aca="true">IF(B3&lt;TODAY(),"Passé",IF(B3=TODAY(),"Aujourd'hui","À venir"))</f>
        <v>À venir</v>
      </c>
    </row>
    <row r="4" customFormat="false" ht="15" hidden="false" customHeight="false" outlineLevel="0" collapsed="false">
      <c r="A4" s="8" t="n">
        <v>3</v>
      </c>
      <c r="B4" s="9" t="n">
        <v>46290</v>
      </c>
      <c r="C4" s="8" t="str">
        <f aca="false">CHOOSE(WEEKDAY(B4,2),"Lundi","Mardi","Mercredi","Jeudi","Vendredi","Samedi","Dimanche")</f>
        <v>Vendredi</v>
      </c>
      <c r="D4" s="8" t="s">
        <v>3</v>
      </c>
      <c r="E4" s="8" t="s">
        <v>37</v>
      </c>
      <c r="F4" s="10" t="s">
        <v>38</v>
      </c>
      <c r="G4" s="8" t="str">
        <f aca="true">IF(B4&lt;TODAY(),"Passé",IF(B4=TODAY(),"Aujourd'hui","À venir"))</f>
        <v>À venir</v>
      </c>
    </row>
    <row r="5" customFormat="false" ht="15" hidden="false" customHeight="false" outlineLevel="0" collapsed="false">
      <c r="A5" s="8" t="n">
        <v>4</v>
      </c>
      <c r="B5" s="9" t="n">
        <v>46291</v>
      </c>
      <c r="C5" s="8" t="str">
        <f aca="false">CHOOSE(WEEKDAY(B5,2),"Lundi","Mardi","Mercredi","Jeudi","Vendredi","Samedi","Dimanche")</f>
        <v>Samedi</v>
      </c>
      <c r="D5" s="8" t="s">
        <v>3</v>
      </c>
      <c r="E5" s="8" t="s">
        <v>39</v>
      </c>
      <c r="F5" s="11"/>
      <c r="G5" s="8" t="str">
        <f aca="true">IF(B5&lt;TODAY(),"Passé",IF(B5=TODAY(),"Aujourd'hui","À venir"))</f>
        <v>À venir</v>
      </c>
    </row>
    <row r="6" customFormat="false" ht="15" hidden="false" customHeight="false" outlineLevel="0" collapsed="false">
      <c r="A6" s="8" t="n">
        <v>5</v>
      </c>
      <c r="B6" s="9" t="n">
        <v>46292</v>
      </c>
      <c r="C6" s="8" t="str">
        <f aca="false">CHOOSE(WEEKDAY(B6,2),"Lundi","Mardi","Mercredi","Jeudi","Vendredi","Samedi","Dimanche")</f>
        <v>Dimanche</v>
      </c>
      <c r="D6" s="8" t="s">
        <v>3</v>
      </c>
      <c r="E6" s="8" t="s">
        <v>40</v>
      </c>
      <c r="F6" s="11"/>
      <c r="G6" s="8" t="str">
        <f aca="true">IF(B6&lt;TODAY(),"Passé",IF(B6=TODAY(),"Aujourd'hui","À venir"))</f>
        <v>À venir</v>
      </c>
    </row>
    <row r="7" customFormat="false" ht="15" hidden="false" customHeight="false" outlineLevel="0" collapsed="false">
      <c r="A7" s="8" t="n">
        <v>6</v>
      </c>
      <c r="B7" s="9" t="n">
        <v>46293</v>
      </c>
      <c r="C7" s="8" t="str">
        <f aca="false">CHOOSE(WEEKDAY(B7,2),"Lundi","Mardi","Mercredi","Jeudi","Vendredi","Samedi","Dimanche")</f>
        <v>Lundi</v>
      </c>
      <c r="D7" s="8" t="s">
        <v>3</v>
      </c>
      <c r="E7" s="8" t="s">
        <v>41</v>
      </c>
      <c r="F7" s="11"/>
      <c r="G7" s="8" t="str">
        <f aca="true">IF(B7&lt;TODAY(),"Passé",IF(B7=TODAY(),"Aujourd'hui","À venir"))</f>
        <v>À venir</v>
      </c>
    </row>
    <row r="8" customFormat="false" ht="15" hidden="false" customHeight="false" outlineLevel="0" collapsed="false">
      <c r="A8" s="8" t="n">
        <v>7</v>
      </c>
      <c r="B8" s="9" t="n">
        <v>46294</v>
      </c>
      <c r="C8" s="8" t="str">
        <f aca="false">CHOOSE(WEEKDAY(B8,2),"Lundi","Mardi","Mercredi","Jeudi","Vendredi","Samedi","Dimanche")</f>
        <v>Mardi</v>
      </c>
      <c r="D8" s="8" t="s">
        <v>3</v>
      </c>
      <c r="E8" s="8" t="s">
        <v>33</v>
      </c>
      <c r="F8" s="11"/>
      <c r="G8" s="8" t="str">
        <f aca="true">IF(B8&lt;TODAY(),"Passé",IF(B8=TODAY(),"Aujourd'hui","À venir"))</f>
        <v>À venir</v>
      </c>
    </row>
    <row r="9" customFormat="false" ht="15" hidden="false" customHeight="false" outlineLevel="0" collapsed="false">
      <c r="A9" s="8" t="n">
        <v>8</v>
      </c>
      <c r="B9" s="9" t="n">
        <v>46295</v>
      </c>
      <c r="C9" s="8" t="str">
        <f aca="false">CHOOSE(WEEKDAY(B9,2),"Lundi","Mardi","Mercredi","Jeudi","Vendredi","Samedi","Dimanche")</f>
        <v>Mercredi</v>
      </c>
      <c r="D9" s="8" t="s">
        <v>3</v>
      </c>
      <c r="E9" s="8" t="s">
        <v>35</v>
      </c>
      <c r="F9" s="11"/>
      <c r="G9" s="8" t="str">
        <f aca="true">IF(B9&lt;TODAY(),"Passé",IF(B9=TODAY(),"Aujourd'hui","À venir"))</f>
        <v>À venir</v>
      </c>
    </row>
    <row r="10" customFormat="false" ht="15" hidden="false" customHeight="false" outlineLevel="0" collapsed="false">
      <c r="A10" s="8" t="n">
        <v>9</v>
      </c>
      <c r="B10" s="9" t="n">
        <v>46296</v>
      </c>
      <c r="C10" s="8" t="str">
        <f aca="false">CHOOSE(WEEKDAY(B10,2),"Lundi","Mardi","Mercredi","Jeudi","Vendredi","Samedi","Dimanche")</f>
        <v>Jeudi</v>
      </c>
      <c r="D10" s="8" t="s">
        <v>3</v>
      </c>
      <c r="E10" s="8" t="s">
        <v>37</v>
      </c>
      <c r="F10" s="11"/>
      <c r="G10" s="8" t="str">
        <f aca="true">IF(B10&lt;TODAY(),"Passé",IF(B10=TODAY(),"Aujourd'hui","À venir"))</f>
        <v>À venir</v>
      </c>
    </row>
    <row r="11" customFormat="false" ht="15" hidden="false" customHeight="false" outlineLevel="0" collapsed="false">
      <c r="A11" s="8" t="n">
        <v>10</v>
      </c>
      <c r="B11" s="9" t="n">
        <v>46297</v>
      </c>
      <c r="C11" s="8" t="str">
        <f aca="false">CHOOSE(WEEKDAY(B11,2),"Lundi","Mardi","Mercredi","Jeudi","Vendredi","Samedi","Dimanche")</f>
        <v>Vendredi</v>
      </c>
      <c r="D11" s="8" t="s">
        <v>3</v>
      </c>
      <c r="E11" s="8" t="s">
        <v>39</v>
      </c>
      <c r="F11" s="11"/>
      <c r="G11" s="8" t="str">
        <f aca="true">IF(B11&lt;TODAY(),"Passé",IF(B11=TODAY(),"Aujourd'hui","À venir"))</f>
        <v>À venir</v>
      </c>
    </row>
    <row r="12" customFormat="false" ht="15" hidden="false" customHeight="false" outlineLevel="0" collapsed="false">
      <c r="A12" s="8" t="n">
        <v>11</v>
      </c>
      <c r="B12" s="9" t="n">
        <v>46298</v>
      </c>
      <c r="C12" s="8" t="str">
        <f aca="false">CHOOSE(WEEKDAY(B12,2),"Lundi","Mardi","Mercredi","Jeudi","Vendredi","Samedi","Dimanche")</f>
        <v>Samedi</v>
      </c>
      <c r="D12" s="8" t="s">
        <v>3</v>
      </c>
      <c r="E12" s="8" t="s">
        <v>40</v>
      </c>
      <c r="F12" s="11"/>
      <c r="G12" s="8" t="str">
        <f aca="true">IF(B12&lt;TODAY(),"Passé",IF(B12=TODAY(),"Aujourd'hui","À venir"))</f>
        <v>À venir</v>
      </c>
    </row>
    <row r="13" customFormat="false" ht="15" hidden="false" customHeight="false" outlineLevel="0" collapsed="false">
      <c r="A13" s="8" t="n">
        <v>12</v>
      </c>
      <c r="B13" s="9" t="n">
        <v>46299</v>
      </c>
      <c r="C13" s="8" t="str">
        <f aca="false">CHOOSE(WEEKDAY(B13,2),"Lundi","Mardi","Mercredi","Jeudi","Vendredi","Samedi","Dimanche")</f>
        <v>Dimanche</v>
      </c>
      <c r="D13" s="8" t="s">
        <v>3</v>
      </c>
      <c r="E13" s="8" t="s">
        <v>41</v>
      </c>
      <c r="F13" s="11"/>
      <c r="G13" s="8" t="str">
        <f aca="true">IF(B13&lt;TODAY(),"Passé",IF(B13=TODAY(),"Aujourd'hui","À venir"))</f>
        <v>À venir</v>
      </c>
    </row>
    <row r="14" customFormat="false" ht="15" hidden="false" customHeight="false" outlineLevel="0" collapsed="false">
      <c r="A14" s="8" t="n">
        <v>13</v>
      </c>
      <c r="B14" s="9" t="n">
        <v>46300</v>
      </c>
      <c r="C14" s="8" t="str">
        <f aca="false">CHOOSE(WEEKDAY(B14,2),"Lundi","Mardi","Mercredi","Jeudi","Vendredi","Samedi","Dimanche")</f>
        <v>Lundi</v>
      </c>
      <c r="D14" s="8" t="s">
        <v>3</v>
      </c>
      <c r="E14" s="8" t="s">
        <v>33</v>
      </c>
      <c r="F14" s="11"/>
      <c r="G14" s="8" t="str">
        <f aca="true">IF(B14&lt;TODAY(),"Passé",IF(B14=TODAY(),"Aujourd'hui","À venir"))</f>
        <v>À venir</v>
      </c>
    </row>
    <row r="15" customFormat="false" ht="15" hidden="false" customHeight="false" outlineLevel="0" collapsed="false">
      <c r="A15" s="8" t="n">
        <v>14</v>
      </c>
      <c r="B15" s="9" t="n">
        <v>46301</v>
      </c>
      <c r="C15" s="8" t="str">
        <f aca="false">CHOOSE(WEEKDAY(B15,2),"Lundi","Mardi","Mercredi","Jeudi","Vendredi","Samedi","Dimanche")</f>
        <v>Mardi</v>
      </c>
      <c r="D15" s="8" t="s">
        <v>3</v>
      </c>
      <c r="E15" s="8" t="s">
        <v>35</v>
      </c>
      <c r="F15" s="11"/>
      <c r="G15" s="8" t="str">
        <f aca="true">IF(B15&lt;TODAY(),"Passé",IF(B15=TODAY(),"Aujourd'hui","À venir"))</f>
        <v>À venir</v>
      </c>
    </row>
    <row r="16" customFormat="false" ht="15" hidden="false" customHeight="false" outlineLevel="0" collapsed="false">
      <c r="A16" s="8" t="n">
        <v>15</v>
      </c>
      <c r="B16" s="9" t="n">
        <v>46302</v>
      </c>
      <c r="C16" s="8" t="str">
        <f aca="false">CHOOSE(WEEKDAY(B16,2),"Lundi","Mardi","Mercredi","Jeudi","Vendredi","Samedi","Dimanche")</f>
        <v>Mercredi</v>
      </c>
      <c r="D16" s="8" t="s">
        <v>3</v>
      </c>
      <c r="E16" s="8" t="s">
        <v>37</v>
      </c>
      <c r="F16" s="11"/>
      <c r="G16" s="8" t="str">
        <f aca="true">IF(B16&lt;TODAY(),"Passé",IF(B16=TODAY(),"Aujourd'hui","À venir"))</f>
        <v>À venir</v>
      </c>
    </row>
    <row r="17" customFormat="false" ht="15" hidden="false" customHeight="false" outlineLevel="0" collapsed="false">
      <c r="A17" s="8" t="n">
        <v>16</v>
      </c>
      <c r="B17" s="9" t="n">
        <v>46303</v>
      </c>
      <c r="C17" s="8" t="str">
        <f aca="false">CHOOSE(WEEKDAY(B17,2),"Lundi","Mardi","Mercredi","Jeudi","Vendredi","Samedi","Dimanche")</f>
        <v>Jeudi</v>
      </c>
      <c r="D17" s="8" t="s">
        <v>3</v>
      </c>
      <c r="E17" s="8" t="s">
        <v>39</v>
      </c>
      <c r="F17" s="11"/>
      <c r="G17" s="8" t="str">
        <f aca="true">IF(B17&lt;TODAY(),"Passé",IF(B17=TODAY(),"Aujourd'hui","À venir"))</f>
        <v>À venir</v>
      </c>
    </row>
    <row r="18" customFormat="false" ht="15" hidden="false" customHeight="false" outlineLevel="0" collapsed="false">
      <c r="A18" s="8" t="n">
        <v>17</v>
      </c>
      <c r="B18" s="9" t="n">
        <v>46304</v>
      </c>
      <c r="C18" s="8" t="str">
        <f aca="false">CHOOSE(WEEKDAY(B18,2),"Lundi","Mardi","Mercredi","Jeudi","Vendredi","Samedi","Dimanche")</f>
        <v>Vendredi</v>
      </c>
      <c r="D18" s="8" t="s">
        <v>3</v>
      </c>
      <c r="E18" s="8" t="s">
        <v>40</v>
      </c>
      <c r="F18" s="11"/>
      <c r="G18" s="8" t="str">
        <f aca="true">IF(B18&lt;TODAY(),"Passé",IF(B18=TODAY(),"Aujourd'hui","À venir"))</f>
        <v>À venir</v>
      </c>
    </row>
    <row r="19" customFormat="false" ht="15" hidden="false" customHeight="false" outlineLevel="0" collapsed="false">
      <c r="A19" s="8" t="n">
        <v>18</v>
      </c>
      <c r="B19" s="9" t="n">
        <v>46305</v>
      </c>
      <c r="C19" s="8" t="str">
        <f aca="false">CHOOSE(WEEKDAY(B19,2),"Lundi","Mardi","Mercredi","Jeudi","Vendredi","Samedi","Dimanche")</f>
        <v>Samedi</v>
      </c>
      <c r="D19" s="8" t="s">
        <v>3</v>
      </c>
      <c r="E19" s="8" t="s">
        <v>41</v>
      </c>
      <c r="F19" s="11"/>
      <c r="G19" s="8" t="str">
        <f aca="true">IF(B19&lt;TODAY(),"Passé",IF(B19=TODAY(),"Aujourd'hui","À venir"))</f>
        <v>À venir</v>
      </c>
    </row>
    <row r="20" customFormat="false" ht="15" hidden="false" customHeight="false" outlineLevel="0" collapsed="false">
      <c r="A20" s="8" t="n">
        <v>19</v>
      </c>
      <c r="B20" s="9" t="n">
        <v>46306</v>
      </c>
      <c r="C20" s="8" t="str">
        <f aca="false">CHOOSE(WEEKDAY(B20,2),"Lundi","Mardi","Mercredi","Jeudi","Vendredi","Samedi","Dimanche")</f>
        <v>Dimanche</v>
      </c>
      <c r="D20" s="8" t="s">
        <v>3</v>
      </c>
      <c r="E20" s="8" t="s">
        <v>33</v>
      </c>
      <c r="F20" s="11"/>
      <c r="G20" s="8" t="str">
        <f aca="true">IF(B20&lt;TODAY(),"Passé",IF(B20=TODAY(),"Aujourd'hui","À venir"))</f>
        <v>À venir</v>
      </c>
    </row>
    <row r="21" customFormat="false" ht="15" hidden="false" customHeight="false" outlineLevel="0" collapsed="false">
      <c r="A21" s="8" t="n">
        <v>20</v>
      </c>
      <c r="B21" s="9" t="n">
        <v>46307</v>
      </c>
      <c r="C21" s="8" t="str">
        <f aca="false">CHOOSE(WEEKDAY(B21,2),"Lundi","Mardi","Mercredi","Jeudi","Vendredi","Samedi","Dimanche")</f>
        <v>Lundi</v>
      </c>
      <c r="D21" s="8" t="s">
        <v>3</v>
      </c>
      <c r="E21" s="8" t="s">
        <v>35</v>
      </c>
      <c r="F21" s="11"/>
      <c r="G21" s="8" t="str">
        <f aca="true">IF(B21&lt;TODAY(),"Passé",IF(B21=TODAY(),"Aujourd'hui","À venir"))</f>
        <v>À venir</v>
      </c>
    </row>
    <row r="22" customFormat="false" ht="15" hidden="false" customHeight="false" outlineLevel="0" collapsed="false">
      <c r="A22" s="8" t="n">
        <v>21</v>
      </c>
      <c r="B22" s="9" t="n">
        <v>46308</v>
      </c>
      <c r="C22" s="8" t="str">
        <f aca="false">CHOOSE(WEEKDAY(B22,2),"Lundi","Mardi","Mercredi","Jeudi","Vendredi","Samedi","Dimanche")</f>
        <v>Mardi</v>
      </c>
      <c r="D22" s="8" t="s">
        <v>3</v>
      </c>
      <c r="E22" s="8" t="s">
        <v>37</v>
      </c>
      <c r="F22" s="11"/>
      <c r="G22" s="8" t="str">
        <f aca="true">IF(B22&lt;TODAY(),"Passé",IF(B22=TODAY(),"Aujourd'hui","À venir"))</f>
        <v>À venir</v>
      </c>
    </row>
    <row r="23" customFormat="false" ht="15" hidden="false" customHeight="false" outlineLevel="0" collapsed="false">
      <c r="A23" s="8" t="n">
        <v>22</v>
      </c>
      <c r="B23" s="9" t="n">
        <v>46309</v>
      </c>
      <c r="C23" s="8" t="str">
        <f aca="false">CHOOSE(WEEKDAY(B23,2),"Lundi","Mardi","Mercredi","Jeudi","Vendredi","Samedi","Dimanche")</f>
        <v>Mercredi</v>
      </c>
      <c r="D23" s="8" t="s">
        <v>3</v>
      </c>
      <c r="E23" s="8" t="s">
        <v>39</v>
      </c>
      <c r="F23" s="11"/>
      <c r="G23" s="8" t="str">
        <f aca="true">IF(B23&lt;TODAY(),"Passé",IF(B23=TODAY(),"Aujourd'hui","À venir"))</f>
        <v>À venir</v>
      </c>
    </row>
    <row r="24" customFormat="false" ht="15" hidden="false" customHeight="false" outlineLevel="0" collapsed="false">
      <c r="A24" s="8" t="n">
        <v>23</v>
      </c>
      <c r="B24" s="9" t="n">
        <v>46310</v>
      </c>
      <c r="C24" s="8" t="str">
        <f aca="false">CHOOSE(WEEKDAY(B24,2),"Lundi","Mardi","Mercredi","Jeudi","Vendredi","Samedi","Dimanche")</f>
        <v>Jeudi</v>
      </c>
      <c r="D24" s="8" t="s">
        <v>3</v>
      </c>
      <c r="E24" s="8" t="s">
        <v>40</v>
      </c>
      <c r="F24" s="11"/>
      <c r="G24" s="8" t="str">
        <f aca="true">IF(B24&lt;TODAY(),"Passé",IF(B24=TODAY(),"Aujourd'hui","À venir"))</f>
        <v>À venir</v>
      </c>
    </row>
    <row r="25" customFormat="false" ht="15" hidden="false" customHeight="false" outlineLevel="0" collapsed="false">
      <c r="A25" s="8" t="n">
        <v>24</v>
      </c>
      <c r="B25" s="9" t="n">
        <v>46311</v>
      </c>
      <c r="C25" s="8" t="str">
        <f aca="false">CHOOSE(WEEKDAY(B25,2),"Lundi","Mardi","Mercredi","Jeudi","Vendredi","Samedi","Dimanche")</f>
        <v>Vendredi</v>
      </c>
      <c r="D25" s="8" t="s">
        <v>3</v>
      </c>
      <c r="E25" s="8" t="s">
        <v>41</v>
      </c>
      <c r="F25" s="11"/>
      <c r="G25" s="8" t="str">
        <f aca="true">IF(B25&lt;TODAY(),"Passé",IF(B25=TODAY(),"Aujourd'hui","À venir"))</f>
        <v>À venir</v>
      </c>
    </row>
    <row r="26" customFormat="false" ht="15" hidden="false" customHeight="false" outlineLevel="0" collapsed="false">
      <c r="A26" s="8" t="n">
        <v>25</v>
      </c>
      <c r="B26" s="9" t="n">
        <v>46312</v>
      </c>
      <c r="C26" s="8" t="str">
        <f aca="false">CHOOSE(WEEKDAY(B26,2),"Lundi","Mardi","Mercredi","Jeudi","Vendredi","Samedi","Dimanche")</f>
        <v>Samedi</v>
      </c>
      <c r="D26" s="8" t="s">
        <v>3</v>
      </c>
      <c r="E26" s="8" t="s">
        <v>33</v>
      </c>
      <c r="F26" s="11"/>
      <c r="G26" s="8" t="str">
        <f aca="true">IF(B26&lt;TODAY(),"Passé",IF(B26=TODAY(),"Aujourd'hui","À venir"))</f>
        <v>À venir</v>
      </c>
    </row>
    <row r="27" customFormat="false" ht="15" hidden="false" customHeight="false" outlineLevel="0" collapsed="false">
      <c r="A27" s="8" t="n">
        <v>26</v>
      </c>
      <c r="B27" s="9" t="n">
        <v>46313</v>
      </c>
      <c r="C27" s="8" t="str">
        <f aca="false">CHOOSE(WEEKDAY(B27,2),"Lundi","Mardi","Mercredi","Jeudi","Vendredi","Samedi","Dimanche")</f>
        <v>Dimanche</v>
      </c>
      <c r="D27" s="8" t="s">
        <v>3</v>
      </c>
      <c r="E27" s="8" t="s">
        <v>35</v>
      </c>
      <c r="F27" s="11"/>
      <c r="G27" s="8" t="str">
        <f aca="true">IF(B27&lt;TODAY(),"Passé",IF(B27=TODAY(),"Aujourd'hui","À venir"))</f>
        <v>À venir</v>
      </c>
    </row>
    <row r="28" customFormat="false" ht="15" hidden="false" customHeight="false" outlineLevel="0" collapsed="false">
      <c r="A28" s="8" t="n">
        <v>27</v>
      </c>
      <c r="B28" s="9" t="n">
        <v>46314</v>
      </c>
      <c r="C28" s="8" t="str">
        <f aca="false">CHOOSE(WEEKDAY(B28,2),"Lundi","Mardi","Mercredi","Jeudi","Vendredi","Samedi","Dimanche")</f>
        <v>Lundi</v>
      </c>
      <c r="D28" s="8" t="s">
        <v>3</v>
      </c>
      <c r="E28" s="8" t="s">
        <v>37</v>
      </c>
      <c r="F28" s="11"/>
      <c r="G28" s="8" t="str">
        <f aca="true">IF(B28&lt;TODAY(),"Passé",IF(B28=TODAY(),"Aujourd'hui","À venir"))</f>
        <v>À venir</v>
      </c>
    </row>
    <row r="29" customFormat="false" ht="15" hidden="false" customHeight="false" outlineLevel="0" collapsed="false">
      <c r="A29" s="8" t="n">
        <v>28</v>
      </c>
      <c r="B29" s="9" t="n">
        <v>46315</v>
      </c>
      <c r="C29" s="8" t="str">
        <f aca="false">CHOOSE(WEEKDAY(B29,2),"Lundi","Mardi","Mercredi","Jeudi","Vendredi","Samedi","Dimanche")</f>
        <v>Mardi</v>
      </c>
      <c r="D29" s="8" t="s">
        <v>3</v>
      </c>
      <c r="E29" s="8" t="s">
        <v>39</v>
      </c>
      <c r="F29" s="11"/>
      <c r="G29" s="8" t="str">
        <f aca="true">IF(B29&lt;TODAY(),"Passé",IF(B29=TODAY(),"Aujourd'hui","À venir"))</f>
        <v>À venir</v>
      </c>
    </row>
    <row r="30" customFormat="false" ht="15" hidden="false" customHeight="false" outlineLevel="0" collapsed="false">
      <c r="A30" s="8" t="n">
        <v>29</v>
      </c>
      <c r="B30" s="9" t="n">
        <v>46316</v>
      </c>
      <c r="C30" s="8" t="str">
        <f aca="false">CHOOSE(WEEKDAY(B30,2),"Lundi","Mardi","Mercredi","Jeudi","Vendredi","Samedi","Dimanche")</f>
        <v>Mercredi</v>
      </c>
      <c r="D30" s="8" t="s">
        <v>3</v>
      </c>
      <c r="E30" s="8" t="s">
        <v>40</v>
      </c>
      <c r="F30" s="11"/>
      <c r="G30" s="8" t="str">
        <f aca="true">IF(B30&lt;TODAY(),"Passé",IF(B30=TODAY(),"Aujourd'hui","À venir"))</f>
        <v>À venir</v>
      </c>
    </row>
    <row r="31" customFormat="false" ht="15" hidden="false" customHeight="false" outlineLevel="0" collapsed="false">
      <c r="A31" s="8" t="n">
        <v>30</v>
      </c>
      <c r="B31" s="9" t="n">
        <v>46317</v>
      </c>
      <c r="C31" s="8" t="str">
        <f aca="false">CHOOSE(WEEKDAY(B31,2),"Lundi","Mardi","Mercredi","Jeudi","Vendredi","Samedi","Dimanche")</f>
        <v>Jeudi</v>
      </c>
      <c r="D31" s="8" t="s">
        <v>3</v>
      </c>
      <c r="E31" s="8" t="s">
        <v>41</v>
      </c>
      <c r="F31" s="11"/>
      <c r="G31" s="8" t="str">
        <f aca="true">IF(B31&lt;TODAY(),"Passé",IF(B31=TODAY(),"Aujourd'hui","À venir"))</f>
        <v>À venir</v>
      </c>
    </row>
    <row r="32" customFormat="false" ht="15" hidden="false" customHeight="false" outlineLevel="0" collapsed="false">
      <c r="A32" s="8" t="n">
        <v>31</v>
      </c>
      <c r="B32" s="9" t="n">
        <v>46318</v>
      </c>
      <c r="C32" s="8" t="str">
        <f aca="false">CHOOSE(WEEKDAY(B32,2),"Lundi","Mardi","Mercredi","Jeudi","Vendredi","Samedi","Dimanche")</f>
        <v>Vendredi</v>
      </c>
      <c r="D32" s="8" t="s">
        <v>3</v>
      </c>
      <c r="E32" s="8" t="s">
        <v>33</v>
      </c>
      <c r="F32" s="11"/>
      <c r="G32" s="8" t="str">
        <f aca="true">IF(B32&lt;TODAY(),"Passé",IF(B32=TODAY(),"Aujourd'hui","À venir"))</f>
        <v>À venir</v>
      </c>
    </row>
    <row r="33" customFormat="false" ht="15" hidden="false" customHeight="false" outlineLevel="0" collapsed="false">
      <c r="A33" s="8" t="n">
        <v>32</v>
      </c>
      <c r="B33" s="9" t="n">
        <v>46319</v>
      </c>
      <c r="C33" s="8" t="str">
        <f aca="false">CHOOSE(WEEKDAY(B33,2),"Lundi","Mardi","Mercredi","Jeudi","Vendredi","Samedi","Dimanche")</f>
        <v>Samedi</v>
      </c>
      <c r="D33" s="8" t="s">
        <v>3</v>
      </c>
      <c r="E33" s="8" t="s">
        <v>35</v>
      </c>
      <c r="F33" s="11"/>
      <c r="G33" s="8" t="str">
        <f aca="true">IF(B33&lt;TODAY(),"Passé",IF(B33=TODAY(),"Aujourd'hui","À venir"))</f>
        <v>À venir</v>
      </c>
    </row>
    <row r="34" customFormat="false" ht="15" hidden="false" customHeight="false" outlineLevel="0" collapsed="false">
      <c r="A34" s="8" t="n">
        <v>33</v>
      </c>
      <c r="B34" s="9" t="n">
        <v>46320</v>
      </c>
      <c r="C34" s="8" t="str">
        <f aca="false">CHOOSE(WEEKDAY(B34,2),"Lundi","Mardi","Mercredi","Jeudi","Vendredi","Samedi","Dimanche")</f>
        <v>Dimanche</v>
      </c>
      <c r="D34" s="8" t="s">
        <v>3</v>
      </c>
      <c r="E34" s="8" t="s">
        <v>37</v>
      </c>
      <c r="F34" s="11"/>
      <c r="G34" s="8" t="str">
        <f aca="true">IF(B34&lt;TODAY(),"Passé",IF(B34=TODAY(),"Aujourd'hui","À venir"))</f>
        <v>À venir</v>
      </c>
    </row>
    <row r="35" customFormat="false" ht="15" hidden="false" customHeight="false" outlineLevel="0" collapsed="false">
      <c r="A35" s="8" t="n">
        <v>34</v>
      </c>
      <c r="B35" s="9" t="n">
        <v>46321</v>
      </c>
      <c r="C35" s="8" t="str">
        <f aca="false">CHOOSE(WEEKDAY(B35,2),"Lundi","Mardi","Mercredi","Jeudi","Vendredi","Samedi","Dimanche")</f>
        <v>Lundi</v>
      </c>
      <c r="D35" s="8" t="s">
        <v>3</v>
      </c>
      <c r="E35" s="8" t="s">
        <v>39</v>
      </c>
      <c r="F35" s="11"/>
      <c r="G35" s="8" t="str">
        <f aca="true">IF(B35&lt;TODAY(),"Passé",IF(B35=TODAY(),"Aujourd'hui","À venir"))</f>
        <v>À venir</v>
      </c>
    </row>
    <row r="36" customFormat="false" ht="15" hidden="false" customHeight="false" outlineLevel="0" collapsed="false">
      <c r="A36" s="8" t="n">
        <v>35</v>
      </c>
      <c r="B36" s="9" t="n">
        <v>46322</v>
      </c>
      <c r="C36" s="8" t="str">
        <f aca="false">CHOOSE(WEEKDAY(B36,2),"Lundi","Mardi","Mercredi","Jeudi","Vendredi","Samedi","Dimanche")</f>
        <v>Mardi</v>
      </c>
      <c r="D36" s="8" t="s">
        <v>3</v>
      </c>
      <c r="E36" s="8" t="s">
        <v>40</v>
      </c>
      <c r="F36" s="11"/>
      <c r="G36" s="8" t="str">
        <f aca="true">IF(B36&lt;TODAY(),"Passé",IF(B36=TODAY(),"Aujourd'hui","À venir"))</f>
        <v>À venir</v>
      </c>
    </row>
    <row r="37" customFormat="false" ht="15" hidden="false" customHeight="false" outlineLevel="0" collapsed="false">
      <c r="A37" s="8" t="n">
        <v>36</v>
      </c>
      <c r="B37" s="9" t="n">
        <v>46323</v>
      </c>
      <c r="C37" s="8" t="str">
        <f aca="false">CHOOSE(WEEKDAY(B37,2),"Lundi","Mardi","Mercredi","Jeudi","Vendredi","Samedi","Dimanche")</f>
        <v>Mercredi</v>
      </c>
      <c r="D37" s="8" t="s">
        <v>3</v>
      </c>
      <c r="E37" s="8" t="s">
        <v>41</v>
      </c>
      <c r="F37" s="11"/>
      <c r="G37" s="8" t="str">
        <f aca="true">IF(B37&lt;TODAY(),"Passé",IF(B37=TODAY(),"Aujourd'hui","À venir"))</f>
        <v>À venir</v>
      </c>
    </row>
    <row r="38" customFormat="false" ht="15" hidden="false" customHeight="false" outlineLevel="0" collapsed="false">
      <c r="A38" s="8" t="n">
        <v>37</v>
      </c>
      <c r="B38" s="9" t="n">
        <v>46324</v>
      </c>
      <c r="C38" s="8" t="str">
        <f aca="false">CHOOSE(WEEKDAY(B38,2),"Lundi","Mardi","Mercredi","Jeudi","Vendredi","Samedi","Dimanche")</f>
        <v>Jeudi</v>
      </c>
      <c r="D38" s="8" t="s">
        <v>3</v>
      </c>
      <c r="E38" s="8" t="s">
        <v>33</v>
      </c>
      <c r="F38" s="11"/>
      <c r="G38" s="8" t="str">
        <f aca="true">IF(B38&lt;TODAY(),"Passé",IF(B38=TODAY(),"Aujourd'hui","À venir"))</f>
        <v>À venir</v>
      </c>
    </row>
    <row r="39" customFormat="false" ht="15" hidden="false" customHeight="false" outlineLevel="0" collapsed="false">
      <c r="A39" s="8" t="n">
        <v>38</v>
      </c>
      <c r="B39" s="9" t="n">
        <v>46325</v>
      </c>
      <c r="C39" s="8" t="str">
        <f aca="false">CHOOSE(WEEKDAY(B39,2),"Lundi","Mardi","Mercredi","Jeudi","Vendredi","Samedi","Dimanche")</f>
        <v>Vendredi</v>
      </c>
      <c r="D39" s="8" t="s">
        <v>3</v>
      </c>
      <c r="E39" s="8" t="s">
        <v>35</v>
      </c>
      <c r="F39" s="11"/>
      <c r="G39" s="8" t="str">
        <f aca="true">IF(B39&lt;TODAY(),"Passé",IF(B39=TODAY(),"Aujourd'hui","À venir"))</f>
        <v>À venir</v>
      </c>
    </row>
    <row r="40" customFormat="false" ht="15" hidden="false" customHeight="false" outlineLevel="0" collapsed="false">
      <c r="A40" s="8" t="n">
        <v>39</v>
      </c>
      <c r="B40" s="9" t="n">
        <v>46326</v>
      </c>
      <c r="C40" s="8" t="str">
        <f aca="false">CHOOSE(WEEKDAY(B40,2),"Lundi","Mardi","Mercredi","Jeudi","Vendredi","Samedi","Dimanche")</f>
        <v>Samedi</v>
      </c>
      <c r="D40" s="8" t="s">
        <v>3</v>
      </c>
      <c r="E40" s="8" t="s">
        <v>37</v>
      </c>
      <c r="F40" s="11"/>
      <c r="G40" s="8" t="str">
        <f aca="true">IF(B40&lt;TODAY(),"Passé",IF(B40=TODAY(),"Aujourd'hui","À venir"))</f>
        <v>À venir</v>
      </c>
    </row>
    <row r="41" customFormat="false" ht="15" hidden="false" customHeight="false" outlineLevel="0" collapsed="false">
      <c r="A41" s="8" t="n">
        <v>40</v>
      </c>
      <c r="B41" s="9" t="n">
        <v>46327</v>
      </c>
      <c r="C41" s="8" t="str">
        <f aca="false">CHOOSE(WEEKDAY(B41,2),"Lundi","Mardi","Mercredi","Jeudi","Vendredi","Samedi","Dimanche")</f>
        <v>Dimanche</v>
      </c>
      <c r="D41" s="8" t="s">
        <v>3</v>
      </c>
      <c r="E41" s="8" t="s">
        <v>39</v>
      </c>
      <c r="F41" s="11"/>
      <c r="G41" s="8" t="str">
        <f aca="true">IF(B41&lt;TODAY(),"Passé",IF(B41=TODAY(),"Aujourd'hui","À venir"))</f>
        <v>À venir</v>
      </c>
    </row>
    <row r="42" customFormat="false" ht="15" hidden="false" customHeight="false" outlineLevel="0" collapsed="false">
      <c r="A42" s="8" t="n">
        <v>41</v>
      </c>
      <c r="B42" s="9" t="n">
        <v>46328</v>
      </c>
      <c r="C42" s="8" t="str">
        <f aca="false">CHOOSE(WEEKDAY(B42,2),"Lundi","Mardi","Mercredi","Jeudi","Vendredi","Samedi","Dimanche")</f>
        <v>Lundi</v>
      </c>
      <c r="D42" s="8" t="s">
        <v>3</v>
      </c>
      <c r="E42" s="8" t="s">
        <v>40</v>
      </c>
      <c r="F42" s="11"/>
      <c r="G42" s="8" t="str">
        <f aca="true">IF(B42&lt;TODAY(),"Passé",IF(B42=TODAY(),"Aujourd'hui","À venir"))</f>
        <v>À venir</v>
      </c>
    </row>
    <row r="43" customFormat="false" ht="15" hidden="false" customHeight="false" outlineLevel="0" collapsed="false">
      <c r="A43" s="8" t="n">
        <v>42</v>
      </c>
      <c r="B43" s="9" t="n">
        <v>46329</v>
      </c>
      <c r="C43" s="8" t="str">
        <f aca="false">CHOOSE(WEEKDAY(B43,2),"Lundi","Mardi","Mercredi","Jeudi","Vendredi","Samedi","Dimanche")</f>
        <v>Mardi</v>
      </c>
      <c r="D43" s="8" t="s">
        <v>3</v>
      </c>
      <c r="E43" s="8" t="s">
        <v>41</v>
      </c>
      <c r="F43" s="11"/>
      <c r="G43" s="8" t="str">
        <f aca="true">IF(B43&lt;TODAY(),"Passé",IF(B43=TODAY(),"Aujourd'hui","À venir"))</f>
        <v>À venir</v>
      </c>
    </row>
    <row r="44" customFormat="false" ht="15" hidden="false" customHeight="false" outlineLevel="0" collapsed="false">
      <c r="A44" s="8" t="n">
        <v>43</v>
      </c>
      <c r="B44" s="9" t="n">
        <v>46330</v>
      </c>
      <c r="C44" s="8" t="str">
        <f aca="false">CHOOSE(WEEKDAY(B44,2),"Lundi","Mardi","Mercredi","Jeudi","Vendredi","Samedi","Dimanche")</f>
        <v>Mercredi</v>
      </c>
      <c r="D44" s="8" t="s">
        <v>3</v>
      </c>
      <c r="E44" s="8" t="s">
        <v>33</v>
      </c>
      <c r="F44" s="11"/>
      <c r="G44" s="8" t="str">
        <f aca="true">IF(B44&lt;TODAY(),"Passé",IF(B44=TODAY(),"Aujourd'hui","À venir"))</f>
        <v>À venir</v>
      </c>
    </row>
    <row r="45" customFormat="false" ht="15" hidden="false" customHeight="false" outlineLevel="0" collapsed="false">
      <c r="A45" s="8" t="n">
        <v>44</v>
      </c>
      <c r="B45" s="9" t="n">
        <v>46331</v>
      </c>
      <c r="C45" s="8" t="str">
        <f aca="false">CHOOSE(WEEKDAY(B45,2),"Lundi","Mardi","Mercredi","Jeudi","Vendredi","Samedi","Dimanche")</f>
        <v>Jeudi</v>
      </c>
      <c r="D45" s="8" t="s">
        <v>3</v>
      </c>
      <c r="E45" s="8" t="s">
        <v>35</v>
      </c>
      <c r="F45" s="11"/>
      <c r="G45" s="8" t="str">
        <f aca="true">IF(B45&lt;TODAY(),"Passé",IF(B45=TODAY(),"Aujourd'hui","À venir"))</f>
        <v>À venir</v>
      </c>
    </row>
    <row r="46" customFormat="false" ht="15" hidden="false" customHeight="false" outlineLevel="0" collapsed="false">
      <c r="A46" s="8" t="n">
        <v>45</v>
      </c>
      <c r="B46" s="9" t="n">
        <v>46332</v>
      </c>
      <c r="C46" s="8" t="str">
        <f aca="false">CHOOSE(WEEKDAY(B46,2),"Lundi","Mardi","Mercredi","Jeudi","Vendredi","Samedi","Dimanche")</f>
        <v>Vendredi</v>
      </c>
      <c r="D46" s="8" t="s">
        <v>3</v>
      </c>
      <c r="E46" s="8" t="s">
        <v>37</v>
      </c>
      <c r="F46" s="11"/>
      <c r="G46" s="8" t="str">
        <f aca="true">IF(B46&lt;TODAY(),"Passé",IF(B46=TODAY(),"Aujourd'hui","À venir"))</f>
        <v>À venir</v>
      </c>
    </row>
    <row r="47" customFormat="false" ht="15" hidden="false" customHeight="false" outlineLevel="0" collapsed="false">
      <c r="A47" s="8" t="n">
        <v>46</v>
      </c>
      <c r="B47" s="9" t="n">
        <v>46333</v>
      </c>
      <c r="C47" s="8" t="str">
        <f aca="false">CHOOSE(WEEKDAY(B47,2),"Lundi","Mardi","Mercredi","Jeudi","Vendredi","Samedi","Dimanche")</f>
        <v>Samedi</v>
      </c>
      <c r="D47" s="8" t="s">
        <v>3</v>
      </c>
      <c r="E47" s="8" t="s">
        <v>39</v>
      </c>
      <c r="F47" s="11"/>
      <c r="G47" s="8" t="str">
        <f aca="true">IF(B47&lt;TODAY(),"Passé",IF(B47=TODAY(),"Aujourd'hui","À venir"))</f>
        <v>À venir</v>
      </c>
    </row>
    <row r="48" customFormat="false" ht="15" hidden="false" customHeight="false" outlineLevel="0" collapsed="false">
      <c r="A48" s="8" t="n">
        <v>47</v>
      </c>
      <c r="B48" s="9" t="n">
        <v>46334</v>
      </c>
      <c r="C48" s="8" t="str">
        <f aca="false">CHOOSE(WEEKDAY(B48,2),"Lundi","Mardi","Mercredi","Jeudi","Vendredi","Samedi","Dimanche")</f>
        <v>Dimanche</v>
      </c>
      <c r="D48" s="8" t="s">
        <v>3</v>
      </c>
      <c r="E48" s="8" t="s">
        <v>40</v>
      </c>
      <c r="F48" s="11"/>
      <c r="G48" s="8" t="str">
        <f aca="true">IF(B48&lt;TODAY(),"Passé",IF(B48=TODAY(),"Aujourd'hui","À venir"))</f>
        <v>À venir</v>
      </c>
    </row>
    <row r="49" customFormat="false" ht="15" hidden="false" customHeight="false" outlineLevel="0" collapsed="false">
      <c r="A49" s="8" t="n">
        <v>48</v>
      </c>
      <c r="B49" s="9" t="n">
        <v>46335</v>
      </c>
      <c r="C49" s="8" t="str">
        <f aca="false">CHOOSE(WEEKDAY(B49,2),"Lundi","Mardi","Mercredi","Jeudi","Vendredi","Samedi","Dimanche")</f>
        <v>Lundi</v>
      </c>
      <c r="D49" s="8" t="s">
        <v>3</v>
      </c>
      <c r="E49" s="8" t="s">
        <v>41</v>
      </c>
      <c r="F49" s="11"/>
      <c r="G49" s="8" t="str">
        <f aca="true">IF(B49&lt;TODAY(),"Passé",IF(B49=TODAY(),"Aujourd'hui","À venir"))</f>
        <v>À venir</v>
      </c>
    </row>
    <row r="50" customFormat="false" ht="15" hidden="false" customHeight="false" outlineLevel="0" collapsed="false">
      <c r="A50" s="8" t="n">
        <v>49</v>
      </c>
      <c r="B50" s="9" t="n">
        <v>46336</v>
      </c>
      <c r="C50" s="8" t="str">
        <f aca="false">CHOOSE(WEEKDAY(B50,2),"Lundi","Mardi","Mercredi","Jeudi","Vendredi","Samedi","Dimanche")</f>
        <v>Mardi</v>
      </c>
      <c r="D50" s="8" t="s">
        <v>3</v>
      </c>
      <c r="E50" s="8" t="s">
        <v>33</v>
      </c>
      <c r="F50" s="11"/>
      <c r="G50" s="8" t="str">
        <f aca="true">IF(B50&lt;TODAY(),"Passé",IF(B50=TODAY(),"Aujourd'hui","À venir"))</f>
        <v>À venir</v>
      </c>
    </row>
    <row r="51" customFormat="false" ht="15" hidden="false" customHeight="false" outlineLevel="0" collapsed="false">
      <c r="A51" s="8" t="n">
        <v>50</v>
      </c>
      <c r="B51" s="9" t="n">
        <v>46337</v>
      </c>
      <c r="C51" s="8" t="str">
        <f aca="false">CHOOSE(WEEKDAY(B51,2),"Lundi","Mardi","Mercredi","Jeudi","Vendredi","Samedi","Dimanche")</f>
        <v>Mercredi</v>
      </c>
      <c r="D51" s="8" t="s">
        <v>3</v>
      </c>
      <c r="E51" s="8" t="s">
        <v>35</v>
      </c>
      <c r="F51" s="11"/>
      <c r="G51" s="8" t="str">
        <f aca="true">IF(B51&lt;TODAY(),"Passé",IF(B51=TODAY(),"Aujourd'hui","À venir"))</f>
        <v>À venir</v>
      </c>
    </row>
    <row r="52" customFormat="false" ht="15" hidden="false" customHeight="false" outlineLevel="0" collapsed="false">
      <c r="A52" s="8" t="n">
        <v>51</v>
      </c>
      <c r="B52" s="9" t="n">
        <v>46338</v>
      </c>
      <c r="C52" s="8" t="str">
        <f aca="false">CHOOSE(WEEKDAY(B52,2),"Lundi","Mardi","Mercredi","Jeudi","Vendredi","Samedi","Dimanche")</f>
        <v>Jeudi</v>
      </c>
      <c r="D52" s="8" t="s">
        <v>3</v>
      </c>
      <c r="E52" s="8" t="s">
        <v>37</v>
      </c>
      <c r="F52" s="11"/>
      <c r="G52" s="8" t="str">
        <f aca="true">IF(B52&lt;TODAY(),"Passé",IF(B52=TODAY(),"Aujourd'hui","À venir"))</f>
        <v>À venir</v>
      </c>
    </row>
    <row r="53" customFormat="false" ht="15" hidden="false" customHeight="false" outlineLevel="0" collapsed="false">
      <c r="A53" s="8" t="n">
        <v>52</v>
      </c>
      <c r="B53" s="9" t="n">
        <v>46339</v>
      </c>
      <c r="C53" s="8" t="str">
        <f aca="false">CHOOSE(WEEKDAY(B53,2),"Lundi","Mardi","Mercredi","Jeudi","Vendredi","Samedi","Dimanche")</f>
        <v>Vendredi</v>
      </c>
      <c r="D53" s="8" t="s">
        <v>3</v>
      </c>
      <c r="E53" s="8" t="s">
        <v>39</v>
      </c>
      <c r="F53" s="11"/>
      <c r="G53" s="8" t="str">
        <f aca="true">IF(B53&lt;TODAY(),"Passé",IF(B53=TODAY(),"Aujourd'hui","À venir"))</f>
        <v>À venir</v>
      </c>
    </row>
    <row r="54" customFormat="false" ht="15" hidden="false" customHeight="false" outlineLevel="0" collapsed="false">
      <c r="A54" s="8" t="n">
        <v>53</v>
      </c>
      <c r="B54" s="9" t="n">
        <v>46340</v>
      </c>
      <c r="C54" s="8" t="str">
        <f aca="false">CHOOSE(WEEKDAY(B54,2),"Lundi","Mardi","Mercredi","Jeudi","Vendredi","Samedi","Dimanche")</f>
        <v>Samedi</v>
      </c>
      <c r="D54" s="8" t="s">
        <v>3</v>
      </c>
      <c r="E54" s="8" t="s">
        <v>40</v>
      </c>
      <c r="F54" s="11"/>
      <c r="G54" s="8" t="str">
        <f aca="true">IF(B54&lt;TODAY(),"Passé",IF(B54=TODAY(),"Aujourd'hui","À venir"))</f>
        <v>À venir</v>
      </c>
    </row>
    <row r="55" customFormat="false" ht="15" hidden="false" customHeight="false" outlineLevel="0" collapsed="false">
      <c r="A55" s="8" t="n">
        <v>54</v>
      </c>
      <c r="B55" s="9" t="n">
        <v>46341</v>
      </c>
      <c r="C55" s="8" t="str">
        <f aca="false">CHOOSE(WEEKDAY(B55,2),"Lundi","Mardi","Mercredi","Jeudi","Vendredi","Samedi","Dimanche")</f>
        <v>Dimanche</v>
      </c>
      <c r="D55" s="8" t="s">
        <v>3</v>
      </c>
      <c r="E55" s="8" t="s">
        <v>41</v>
      </c>
      <c r="F55" s="11"/>
      <c r="G55" s="8" t="str">
        <f aca="true">IF(B55&lt;TODAY(),"Passé",IF(B55=TODAY(),"Aujourd'hui","À venir"))</f>
        <v>À venir</v>
      </c>
    </row>
    <row r="56" customFormat="false" ht="15" hidden="false" customHeight="false" outlineLevel="0" collapsed="false">
      <c r="A56" s="8" t="n">
        <v>55</v>
      </c>
      <c r="B56" s="9" t="n">
        <v>46342</v>
      </c>
      <c r="C56" s="8" t="str">
        <f aca="false">CHOOSE(WEEKDAY(B56,2),"Lundi","Mardi","Mercredi","Jeudi","Vendredi","Samedi","Dimanche")</f>
        <v>Lundi</v>
      </c>
      <c r="D56" s="8" t="s">
        <v>3</v>
      </c>
      <c r="E56" s="8" t="s">
        <v>33</v>
      </c>
      <c r="F56" s="11"/>
      <c r="G56" s="8" t="str">
        <f aca="true">IF(B56&lt;TODAY(),"Passé",IF(B56=TODAY(),"Aujourd'hui","À venir"))</f>
        <v>À venir</v>
      </c>
    </row>
    <row r="57" customFormat="false" ht="15" hidden="false" customHeight="false" outlineLevel="0" collapsed="false">
      <c r="A57" s="8" t="n">
        <v>56</v>
      </c>
      <c r="B57" s="9" t="n">
        <v>46343</v>
      </c>
      <c r="C57" s="8" t="str">
        <f aca="false">CHOOSE(WEEKDAY(B57,2),"Lundi","Mardi","Mercredi","Jeudi","Vendredi","Samedi","Dimanche")</f>
        <v>Mardi</v>
      </c>
      <c r="D57" s="8" t="s">
        <v>3</v>
      </c>
      <c r="E57" s="8" t="s">
        <v>35</v>
      </c>
      <c r="F57" s="11"/>
      <c r="G57" s="8" t="str">
        <f aca="true">IF(B57&lt;TODAY(),"Passé",IF(B57=TODAY(),"Aujourd'hui","À venir"))</f>
        <v>À venir</v>
      </c>
    </row>
    <row r="58" customFormat="false" ht="15" hidden="false" customHeight="false" outlineLevel="0" collapsed="false">
      <c r="A58" s="8" t="n">
        <v>57</v>
      </c>
      <c r="B58" s="9" t="n">
        <v>46344</v>
      </c>
      <c r="C58" s="8" t="str">
        <f aca="false">CHOOSE(WEEKDAY(B58,2),"Lundi","Mardi","Mercredi","Jeudi","Vendredi","Samedi","Dimanche")</f>
        <v>Mercredi</v>
      </c>
      <c r="D58" s="8" t="s">
        <v>3</v>
      </c>
      <c r="E58" s="8" t="s">
        <v>37</v>
      </c>
      <c r="F58" s="11"/>
      <c r="G58" s="8" t="str">
        <f aca="true">IF(B58&lt;TODAY(),"Passé",IF(B58=TODAY(),"Aujourd'hui","À venir"))</f>
        <v>À venir</v>
      </c>
    </row>
    <row r="59" customFormat="false" ht="15" hidden="false" customHeight="false" outlineLevel="0" collapsed="false">
      <c r="A59" s="8" t="n">
        <v>58</v>
      </c>
      <c r="B59" s="9" t="n">
        <v>46345</v>
      </c>
      <c r="C59" s="8" t="str">
        <f aca="false">CHOOSE(WEEKDAY(B59,2),"Lundi","Mardi","Mercredi","Jeudi","Vendredi","Samedi","Dimanche")</f>
        <v>Jeudi</v>
      </c>
      <c r="D59" s="8" t="s">
        <v>3</v>
      </c>
      <c r="E59" s="8" t="s">
        <v>39</v>
      </c>
      <c r="F59" s="11"/>
      <c r="G59" s="8" t="str">
        <f aca="true">IF(B59&lt;TODAY(),"Passé",IF(B59=TODAY(),"Aujourd'hui","À venir"))</f>
        <v>À venir</v>
      </c>
    </row>
    <row r="60" customFormat="false" ht="15" hidden="false" customHeight="false" outlineLevel="0" collapsed="false">
      <c r="A60" s="8" t="n">
        <v>59</v>
      </c>
      <c r="B60" s="9" t="n">
        <v>46346</v>
      </c>
      <c r="C60" s="8" t="str">
        <f aca="false">CHOOSE(WEEKDAY(B60,2),"Lundi","Mardi","Mercredi","Jeudi","Vendredi","Samedi","Dimanche")</f>
        <v>Vendredi</v>
      </c>
      <c r="D60" s="8" t="s">
        <v>3</v>
      </c>
      <c r="E60" s="8" t="s">
        <v>40</v>
      </c>
      <c r="F60" s="11"/>
      <c r="G60" s="8" t="str">
        <f aca="true">IF(B60&lt;TODAY(),"Passé",IF(B60=TODAY(),"Aujourd'hui","À venir"))</f>
        <v>À venir</v>
      </c>
    </row>
    <row r="61" customFormat="false" ht="15" hidden="false" customHeight="false" outlineLevel="0" collapsed="false">
      <c r="A61" s="8" t="n">
        <v>60</v>
      </c>
      <c r="B61" s="9" t="n">
        <v>46347</v>
      </c>
      <c r="C61" s="8" t="str">
        <f aca="false">CHOOSE(WEEKDAY(B61,2),"Lundi","Mardi","Mercredi","Jeudi","Vendredi","Samedi","Dimanche")</f>
        <v>Samedi</v>
      </c>
      <c r="D61" s="8" t="s">
        <v>3</v>
      </c>
      <c r="E61" s="8" t="s">
        <v>41</v>
      </c>
      <c r="F61" s="11"/>
      <c r="G61" s="8" t="str">
        <f aca="true">IF(B61&lt;TODAY(),"Passé",IF(B61=TODAY(),"Aujourd'hui","À venir"))</f>
        <v>À venir</v>
      </c>
    </row>
    <row r="62" customFormat="false" ht="15" hidden="false" customHeight="false" outlineLevel="0" collapsed="false">
      <c r="A62" s="8" t="n">
        <v>61</v>
      </c>
      <c r="B62" s="9" t="n">
        <v>46348</v>
      </c>
      <c r="C62" s="8" t="str">
        <f aca="false">CHOOSE(WEEKDAY(B62,2),"Lundi","Mardi","Mercredi","Jeudi","Vendredi","Samedi","Dimanche")</f>
        <v>Dimanche</v>
      </c>
      <c r="D62" s="8" t="s">
        <v>3</v>
      </c>
      <c r="E62" s="8" t="s">
        <v>33</v>
      </c>
      <c r="F62" s="11"/>
      <c r="G62" s="8" t="str">
        <f aca="true">IF(B62&lt;TODAY(),"Passé",IF(B62=TODAY(),"Aujourd'hui","À venir"))</f>
        <v>À venir</v>
      </c>
    </row>
    <row r="63" customFormat="false" ht="15" hidden="false" customHeight="false" outlineLevel="0" collapsed="false">
      <c r="A63" s="8" t="n">
        <v>62</v>
      </c>
      <c r="B63" s="9" t="n">
        <v>46349</v>
      </c>
      <c r="C63" s="8" t="str">
        <f aca="false">CHOOSE(WEEKDAY(B63,2),"Lundi","Mardi","Mercredi","Jeudi","Vendredi","Samedi","Dimanche")</f>
        <v>Lundi</v>
      </c>
      <c r="D63" s="8" t="s">
        <v>3</v>
      </c>
      <c r="E63" s="8" t="s">
        <v>35</v>
      </c>
      <c r="F63" s="11"/>
      <c r="G63" s="8" t="str">
        <f aca="true">IF(B63&lt;TODAY(),"Passé",IF(B63=TODAY(),"Aujourd'hui","À venir"))</f>
        <v>À venir</v>
      </c>
    </row>
    <row r="64" customFormat="false" ht="15" hidden="false" customHeight="false" outlineLevel="0" collapsed="false">
      <c r="A64" s="8" t="n">
        <v>63</v>
      </c>
      <c r="B64" s="9" t="n">
        <v>46350</v>
      </c>
      <c r="C64" s="8" t="str">
        <f aca="false">CHOOSE(WEEKDAY(B64,2),"Lundi","Mardi","Mercredi","Jeudi","Vendredi","Samedi","Dimanche")</f>
        <v>Mardi</v>
      </c>
      <c r="D64" s="8" t="s">
        <v>3</v>
      </c>
      <c r="E64" s="8" t="s">
        <v>37</v>
      </c>
      <c r="F64" s="11"/>
      <c r="G64" s="8" t="str">
        <f aca="true">IF(B64&lt;TODAY(),"Passé",IF(B64=TODAY(),"Aujourd'hui","À venir"))</f>
        <v>À venir</v>
      </c>
    </row>
    <row r="65" customFormat="false" ht="15" hidden="false" customHeight="false" outlineLevel="0" collapsed="false">
      <c r="A65" s="8" t="n">
        <v>64</v>
      </c>
      <c r="B65" s="9" t="n">
        <v>46351</v>
      </c>
      <c r="C65" s="8" t="str">
        <f aca="false">CHOOSE(WEEKDAY(B65,2),"Lundi","Mardi","Mercredi","Jeudi","Vendredi","Samedi","Dimanche")</f>
        <v>Mercredi</v>
      </c>
      <c r="D65" s="8" t="s">
        <v>3</v>
      </c>
      <c r="E65" s="8" t="s">
        <v>39</v>
      </c>
      <c r="F65" s="11"/>
      <c r="G65" s="8" t="str">
        <f aca="true">IF(B65&lt;TODAY(),"Passé",IF(B65=TODAY(),"Aujourd'hui","À venir"))</f>
        <v>À venir</v>
      </c>
    </row>
    <row r="66" customFormat="false" ht="15" hidden="false" customHeight="false" outlineLevel="0" collapsed="false">
      <c r="A66" s="8" t="n">
        <v>65</v>
      </c>
      <c r="B66" s="9" t="n">
        <v>46352</v>
      </c>
      <c r="C66" s="8" t="str">
        <f aca="false">CHOOSE(WEEKDAY(B66,2),"Lundi","Mardi","Mercredi","Jeudi","Vendredi","Samedi","Dimanche")</f>
        <v>Jeudi</v>
      </c>
      <c r="D66" s="8" t="s">
        <v>3</v>
      </c>
      <c r="E66" s="8" t="s">
        <v>40</v>
      </c>
      <c r="F66" s="11"/>
      <c r="G66" s="8" t="str">
        <f aca="true">IF(B66&lt;TODAY(),"Passé",IF(B66=TODAY(),"Aujourd'hui","À venir"))</f>
        <v>À venir</v>
      </c>
    </row>
    <row r="67" customFormat="false" ht="15" hidden="false" customHeight="false" outlineLevel="0" collapsed="false">
      <c r="A67" s="8" t="n">
        <v>66</v>
      </c>
      <c r="B67" s="9" t="n">
        <v>46353</v>
      </c>
      <c r="C67" s="8" t="str">
        <f aca="false">CHOOSE(WEEKDAY(B67,2),"Lundi","Mardi","Mercredi","Jeudi","Vendredi","Samedi","Dimanche")</f>
        <v>Vendredi</v>
      </c>
      <c r="D67" s="8" t="s">
        <v>3</v>
      </c>
      <c r="E67" s="8" t="s">
        <v>41</v>
      </c>
      <c r="F67" s="11"/>
      <c r="G67" s="8" t="str">
        <f aca="true">IF(B67&lt;TODAY(),"Passé",IF(B67=TODAY(),"Aujourd'hui","À venir"))</f>
        <v>À venir</v>
      </c>
    </row>
    <row r="68" customFormat="false" ht="15" hidden="false" customHeight="false" outlineLevel="0" collapsed="false">
      <c r="A68" s="8" t="n">
        <v>67</v>
      </c>
      <c r="B68" s="9" t="n">
        <v>46354</v>
      </c>
      <c r="C68" s="8" t="str">
        <f aca="false">CHOOSE(WEEKDAY(B68,2),"Lundi","Mardi","Mercredi","Jeudi","Vendredi","Samedi","Dimanche")</f>
        <v>Samedi</v>
      </c>
      <c r="D68" s="8" t="s">
        <v>3</v>
      </c>
      <c r="E68" s="8" t="s">
        <v>33</v>
      </c>
      <c r="F68" s="11"/>
      <c r="G68" s="8" t="str">
        <f aca="true">IF(B68&lt;TODAY(),"Passé",IF(B68=TODAY(),"Aujourd'hui","À venir"))</f>
        <v>À venir</v>
      </c>
    </row>
    <row r="69" customFormat="false" ht="15" hidden="false" customHeight="false" outlineLevel="0" collapsed="false">
      <c r="A69" s="8" t="n">
        <v>68</v>
      </c>
      <c r="B69" s="9" t="n">
        <v>46355</v>
      </c>
      <c r="C69" s="8" t="str">
        <f aca="false">CHOOSE(WEEKDAY(B69,2),"Lundi","Mardi","Mercredi","Jeudi","Vendredi","Samedi","Dimanche")</f>
        <v>Dimanche</v>
      </c>
      <c r="D69" s="8" t="s">
        <v>3</v>
      </c>
      <c r="E69" s="8" t="s">
        <v>35</v>
      </c>
      <c r="F69" s="11"/>
      <c r="G69" s="8" t="str">
        <f aca="true">IF(B69&lt;TODAY(),"Passé",IF(B69=TODAY(),"Aujourd'hui","À venir"))</f>
        <v>À venir</v>
      </c>
    </row>
    <row r="70" customFormat="false" ht="15" hidden="false" customHeight="false" outlineLevel="0" collapsed="false">
      <c r="A70" s="8" t="n">
        <v>69</v>
      </c>
      <c r="B70" s="9" t="n">
        <v>46356</v>
      </c>
      <c r="C70" s="8" t="str">
        <f aca="false">CHOOSE(WEEKDAY(B70,2),"Lundi","Mardi","Mercredi","Jeudi","Vendredi","Samedi","Dimanche")</f>
        <v>Lundi</v>
      </c>
      <c r="D70" s="8" t="s">
        <v>3</v>
      </c>
      <c r="E70" s="8" t="s">
        <v>37</v>
      </c>
      <c r="F70" s="11"/>
      <c r="G70" s="8" t="str">
        <f aca="true">IF(B70&lt;TODAY(),"Passé",IF(B70=TODAY(),"Aujourd'hui","À venir"))</f>
        <v>À venir</v>
      </c>
    </row>
    <row r="71" customFormat="false" ht="15" hidden="false" customHeight="false" outlineLevel="0" collapsed="false">
      <c r="A71" s="8" t="n">
        <v>70</v>
      </c>
      <c r="B71" s="9" t="n">
        <v>46357</v>
      </c>
      <c r="C71" s="8" t="str">
        <f aca="false">CHOOSE(WEEKDAY(B71,2),"Lundi","Mardi","Mercredi","Jeudi","Vendredi","Samedi","Dimanche")</f>
        <v>Mardi</v>
      </c>
      <c r="D71" s="8" t="s">
        <v>3</v>
      </c>
      <c r="E71" s="8" t="s">
        <v>39</v>
      </c>
      <c r="F71" s="11"/>
      <c r="G71" s="8" t="str">
        <f aca="true">IF(B71&lt;TODAY(),"Passé",IF(B71=TODAY(),"Aujourd'hui","À venir"))</f>
        <v>À venir</v>
      </c>
    </row>
    <row r="72" customFormat="false" ht="15" hidden="false" customHeight="false" outlineLevel="0" collapsed="false">
      <c r="A72" s="8" t="n">
        <v>71</v>
      </c>
      <c r="B72" s="9" t="n">
        <v>46358</v>
      </c>
      <c r="C72" s="8" t="str">
        <f aca="false">CHOOSE(WEEKDAY(B72,2),"Lundi","Mardi","Mercredi","Jeudi","Vendredi","Samedi","Dimanche")</f>
        <v>Mercredi</v>
      </c>
      <c r="D72" s="8" t="s">
        <v>3</v>
      </c>
      <c r="E72" s="8" t="s">
        <v>40</v>
      </c>
      <c r="F72" s="11"/>
      <c r="G72" s="8" t="str">
        <f aca="true">IF(B72&lt;TODAY(),"Passé",IF(B72=TODAY(),"Aujourd'hui","À venir"))</f>
        <v>À venir</v>
      </c>
    </row>
    <row r="73" customFormat="false" ht="15" hidden="false" customHeight="false" outlineLevel="0" collapsed="false">
      <c r="A73" s="8" t="n">
        <v>72</v>
      </c>
      <c r="B73" s="9" t="n">
        <v>46359</v>
      </c>
      <c r="C73" s="8" t="str">
        <f aca="false">CHOOSE(WEEKDAY(B73,2),"Lundi","Mardi","Mercredi","Jeudi","Vendredi","Samedi","Dimanche")</f>
        <v>Jeudi</v>
      </c>
      <c r="D73" s="8" t="s">
        <v>3</v>
      </c>
      <c r="E73" s="8" t="s">
        <v>41</v>
      </c>
      <c r="F73" s="11"/>
      <c r="G73" s="8" t="str">
        <f aca="true">IF(B73&lt;TODAY(),"Passé",IF(B73=TODAY(),"Aujourd'hui","À venir"))</f>
        <v>À venir</v>
      </c>
    </row>
    <row r="74" customFormat="false" ht="15" hidden="false" customHeight="false" outlineLevel="0" collapsed="false">
      <c r="A74" s="8" t="n">
        <v>73</v>
      </c>
      <c r="B74" s="9" t="n">
        <v>46360</v>
      </c>
      <c r="C74" s="8" t="str">
        <f aca="false">CHOOSE(WEEKDAY(B74,2),"Lundi","Mardi","Mercredi","Jeudi","Vendredi","Samedi","Dimanche")</f>
        <v>Vendredi</v>
      </c>
      <c r="D74" s="8" t="s">
        <v>3</v>
      </c>
      <c r="E74" s="8" t="s">
        <v>33</v>
      </c>
      <c r="F74" s="11"/>
      <c r="G74" s="8" t="str">
        <f aca="true">IF(B74&lt;TODAY(),"Passé",IF(B74=TODAY(),"Aujourd'hui","À venir"))</f>
        <v>À venir</v>
      </c>
    </row>
    <row r="75" customFormat="false" ht="15" hidden="false" customHeight="false" outlineLevel="0" collapsed="false">
      <c r="A75" s="8" t="n">
        <v>74</v>
      </c>
      <c r="B75" s="9" t="n">
        <v>46361</v>
      </c>
      <c r="C75" s="8" t="str">
        <f aca="false">CHOOSE(WEEKDAY(B75,2),"Lundi","Mardi","Mercredi","Jeudi","Vendredi","Samedi","Dimanche")</f>
        <v>Samedi</v>
      </c>
      <c r="D75" s="8" t="s">
        <v>3</v>
      </c>
      <c r="E75" s="8" t="s">
        <v>35</v>
      </c>
      <c r="F75" s="11"/>
      <c r="G75" s="8" t="str">
        <f aca="true">IF(B75&lt;TODAY(),"Passé",IF(B75=TODAY(),"Aujourd'hui","À venir"))</f>
        <v>À venir</v>
      </c>
    </row>
    <row r="76" customFormat="false" ht="15" hidden="false" customHeight="false" outlineLevel="0" collapsed="false">
      <c r="A76" s="8" t="n">
        <v>75</v>
      </c>
      <c r="B76" s="9" t="n">
        <v>46362</v>
      </c>
      <c r="C76" s="8" t="str">
        <f aca="false">CHOOSE(WEEKDAY(B76,2),"Lundi","Mardi","Mercredi","Jeudi","Vendredi","Samedi","Dimanche")</f>
        <v>Dimanche</v>
      </c>
      <c r="D76" s="8" t="s">
        <v>3</v>
      </c>
      <c r="E76" s="8" t="s">
        <v>37</v>
      </c>
      <c r="F76" s="11"/>
      <c r="G76" s="8" t="str">
        <f aca="true">IF(B76&lt;TODAY(),"Passé",IF(B76=TODAY(),"Aujourd'hui","À venir"))</f>
        <v>À venir</v>
      </c>
    </row>
    <row r="77" customFormat="false" ht="15" hidden="false" customHeight="false" outlineLevel="0" collapsed="false">
      <c r="A77" s="8" t="n">
        <v>76</v>
      </c>
      <c r="B77" s="9" t="n">
        <v>46363</v>
      </c>
      <c r="C77" s="8" t="str">
        <f aca="false">CHOOSE(WEEKDAY(B77,2),"Lundi","Mardi","Mercredi","Jeudi","Vendredi","Samedi","Dimanche")</f>
        <v>Lundi</v>
      </c>
      <c r="D77" s="8" t="s">
        <v>3</v>
      </c>
      <c r="E77" s="8" t="s">
        <v>39</v>
      </c>
      <c r="F77" s="11"/>
      <c r="G77" s="8" t="str">
        <f aca="true">IF(B77&lt;TODAY(),"Passé",IF(B77=TODAY(),"Aujourd'hui","À venir"))</f>
        <v>À venir</v>
      </c>
    </row>
    <row r="78" customFormat="false" ht="15" hidden="false" customHeight="false" outlineLevel="0" collapsed="false">
      <c r="A78" s="8" t="n">
        <v>77</v>
      </c>
      <c r="B78" s="9" t="n">
        <v>46364</v>
      </c>
      <c r="C78" s="8" t="str">
        <f aca="false">CHOOSE(WEEKDAY(B78,2),"Lundi","Mardi","Mercredi","Jeudi","Vendredi","Samedi","Dimanche")</f>
        <v>Mardi</v>
      </c>
      <c r="D78" s="8" t="s">
        <v>3</v>
      </c>
      <c r="E78" s="8" t="s">
        <v>40</v>
      </c>
      <c r="F78" s="11"/>
      <c r="G78" s="8" t="str">
        <f aca="true">IF(B78&lt;TODAY(),"Passé",IF(B78=TODAY(),"Aujourd'hui","À venir"))</f>
        <v>À venir</v>
      </c>
    </row>
    <row r="79" customFormat="false" ht="15" hidden="false" customHeight="false" outlineLevel="0" collapsed="false">
      <c r="A79" s="8" t="n">
        <v>78</v>
      </c>
      <c r="B79" s="9" t="n">
        <v>46365</v>
      </c>
      <c r="C79" s="8" t="str">
        <f aca="false">CHOOSE(WEEKDAY(B79,2),"Lundi","Mardi","Mercredi","Jeudi","Vendredi","Samedi","Dimanche")</f>
        <v>Mercredi</v>
      </c>
      <c r="D79" s="8" t="s">
        <v>3</v>
      </c>
      <c r="E79" s="8" t="s">
        <v>41</v>
      </c>
      <c r="F79" s="11"/>
      <c r="G79" s="8" t="str">
        <f aca="true">IF(B79&lt;TODAY(),"Passé",IF(B79=TODAY(),"Aujourd'hui","À venir"))</f>
        <v>À venir</v>
      </c>
    </row>
    <row r="80" customFormat="false" ht="15" hidden="false" customHeight="false" outlineLevel="0" collapsed="false">
      <c r="A80" s="8" t="n">
        <v>79</v>
      </c>
      <c r="B80" s="9" t="n">
        <v>46366</v>
      </c>
      <c r="C80" s="8" t="str">
        <f aca="false">CHOOSE(WEEKDAY(B80,2),"Lundi","Mardi","Mercredi","Jeudi","Vendredi","Samedi","Dimanche")</f>
        <v>Jeudi</v>
      </c>
      <c r="D80" s="8" t="s">
        <v>3</v>
      </c>
      <c r="E80" s="8" t="s">
        <v>33</v>
      </c>
      <c r="F80" s="11"/>
      <c r="G80" s="8" t="str">
        <f aca="true">IF(B80&lt;TODAY(),"Passé",IF(B80=TODAY(),"Aujourd'hui","À venir"))</f>
        <v>À venir</v>
      </c>
    </row>
    <row r="81" customFormat="false" ht="15" hidden="false" customHeight="false" outlineLevel="0" collapsed="false">
      <c r="A81" s="8" t="n">
        <v>80</v>
      </c>
      <c r="B81" s="9" t="n">
        <v>46367</v>
      </c>
      <c r="C81" s="8" t="str">
        <f aca="false">CHOOSE(WEEKDAY(B81,2),"Lundi","Mardi","Mercredi","Jeudi","Vendredi","Samedi","Dimanche")</f>
        <v>Vendredi</v>
      </c>
      <c r="D81" s="8" t="s">
        <v>3</v>
      </c>
      <c r="E81" s="8" t="s">
        <v>35</v>
      </c>
      <c r="F81" s="11"/>
      <c r="G81" s="8" t="str">
        <f aca="true">IF(B81&lt;TODAY(),"Passé",IF(B81=TODAY(),"Aujourd'hui","À venir"))</f>
        <v>À venir</v>
      </c>
    </row>
    <row r="82" customFormat="false" ht="15" hidden="false" customHeight="false" outlineLevel="0" collapsed="false">
      <c r="A82" s="8" t="n">
        <v>81</v>
      </c>
      <c r="B82" s="9" t="n">
        <v>46368</v>
      </c>
      <c r="C82" s="8" t="str">
        <f aca="false">CHOOSE(WEEKDAY(B82,2),"Lundi","Mardi","Mercredi","Jeudi","Vendredi","Samedi","Dimanche")</f>
        <v>Samedi</v>
      </c>
      <c r="D82" s="8" t="s">
        <v>3</v>
      </c>
      <c r="E82" s="8" t="s">
        <v>37</v>
      </c>
      <c r="F82" s="11"/>
      <c r="G82" s="8" t="str">
        <f aca="true">IF(B82&lt;TODAY(),"Passé",IF(B82=TODAY(),"Aujourd'hui","À venir"))</f>
        <v>À venir</v>
      </c>
    </row>
    <row r="83" customFormat="false" ht="15" hidden="false" customHeight="false" outlineLevel="0" collapsed="false">
      <c r="A83" s="8" t="n">
        <v>82</v>
      </c>
      <c r="B83" s="9" t="n">
        <v>46369</v>
      </c>
      <c r="C83" s="8" t="str">
        <f aca="false">CHOOSE(WEEKDAY(B83,2),"Lundi","Mardi","Mercredi","Jeudi","Vendredi","Samedi","Dimanche")</f>
        <v>Dimanche</v>
      </c>
      <c r="D83" s="8" t="s">
        <v>3</v>
      </c>
      <c r="E83" s="8" t="s">
        <v>39</v>
      </c>
      <c r="F83" s="11"/>
      <c r="G83" s="8" t="str">
        <f aca="true">IF(B83&lt;TODAY(),"Passé",IF(B83=TODAY(),"Aujourd'hui","À venir"))</f>
        <v>À venir</v>
      </c>
    </row>
    <row r="84" customFormat="false" ht="15" hidden="false" customHeight="false" outlineLevel="0" collapsed="false">
      <c r="A84" s="8" t="n">
        <v>83</v>
      </c>
      <c r="B84" s="9" t="n">
        <v>46370</v>
      </c>
      <c r="C84" s="8" t="str">
        <f aca="false">CHOOSE(WEEKDAY(B84,2),"Lundi","Mardi","Mercredi","Jeudi","Vendredi","Samedi","Dimanche")</f>
        <v>Lundi</v>
      </c>
      <c r="D84" s="8" t="s">
        <v>3</v>
      </c>
      <c r="E84" s="8" t="s">
        <v>40</v>
      </c>
      <c r="F84" s="11"/>
      <c r="G84" s="8" t="str">
        <f aca="true">IF(B84&lt;TODAY(),"Passé",IF(B84=TODAY(),"Aujourd'hui","À venir"))</f>
        <v>À venir</v>
      </c>
    </row>
    <row r="85" customFormat="false" ht="15" hidden="false" customHeight="false" outlineLevel="0" collapsed="false">
      <c r="A85" s="8" t="n">
        <v>84</v>
      </c>
      <c r="B85" s="9" t="n">
        <v>46371</v>
      </c>
      <c r="C85" s="8" t="str">
        <f aca="false">CHOOSE(WEEKDAY(B85,2),"Lundi","Mardi","Mercredi","Jeudi","Vendredi","Samedi","Dimanche")</f>
        <v>Mardi</v>
      </c>
      <c r="D85" s="8" t="s">
        <v>3</v>
      </c>
      <c r="E85" s="8" t="s">
        <v>41</v>
      </c>
      <c r="F85" s="11"/>
      <c r="G85" s="8" t="str">
        <f aca="true">IF(B85&lt;TODAY(),"Passé",IF(B85=TODAY(),"Aujourd'hui","À venir"))</f>
        <v>À venir</v>
      </c>
    </row>
    <row r="86" customFormat="false" ht="15" hidden="false" customHeight="false" outlineLevel="0" collapsed="false">
      <c r="A86" s="8" t="n">
        <v>85</v>
      </c>
      <c r="B86" s="9" t="n">
        <v>46372</v>
      </c>
      <c r="C86" s="8" t="str">
        <f aca="false">CHOOSE(WEEKDAY(B86,2),"Lundi","Mardi","Mercredi","Jeudi","Vendredi","Samedi","Dimanche")</f>
        <v>Mercredi</v>
      </c>
      <c r="D86" s="8" t="s">
        <v>3</v>
      </c>
      <c r="E86" s="8" t="s">
        <v>33</v>
      </c>
      <c r="F86" s="11"/>
      <c r="G86" s="8" t="str">
        <f aca="true">IF(B86&lt;TODAY(),"Passé",IF(B86=TODAY(),"Aujourd'hui","À venir"))</f>
        <v>À venir</v>
      </c>
    </row>
    <row r="87" customFormat="false" ht="15" hidden="false" customHeight="false" outlineLevel="0" collapsed="false">
      <c r="A87" s="8" t="n">
        <v>86</v>
      </c>
      <c r="B87" s="9" t="n">
        <v>46373</v>
      </c>
      <c r="C87" s="8" t="str">
        <f aca="false">CHOOSE(WEEKDAY(B87,2),"Lundi","Mardi","Mercredi","Jeudi","Vendredi","Samedi","Dimanche")</f>
        <v>Jeudi</v>
      </c>
      <c r="D87" s="8" t="s">
        <v>3</v>
      </c>
      <c r="E87" s="8" t="s">
        <v>35</v>
      </c>
      <c r="F87" s="11"/>
      <c r="G87" s="8" t="str">
        <f aca="true">IF(B87&lt;TODAY(),"Passé",IF(B87=TODAY(),"Aujourd'hui","À venir"))</f>
        <v>À venir</v>
      </c>
    </row>
    <row r="88" customFormat="false" ht="15" hidden="false" customHeight="false" outlineLevel="0" collapsed="false">
      <c r="A88" s="8" t="n">
        <v>87</v>
      </c>
      <c r="B88" s="9" t="n">
        <v>46374</v>
      </c>
      <c r="C88" s="8" t="str">
        <f aca="false">CHOOSE(WEEKDAY(B88,2),"Lundi","Mardi","Mercredi","Jeudi","Vendredi","Samedi","Dimanche")</f>
        <v>Vendredi</v>
      </c>
      <c r="D88" s="8" t="s">
        <v>3</v>
      </c>
      <c r="E88" s="8" t="s">
        <v>37</v>
      </c>
      <c r="F88" s="11"/>
      <c r="G88" s="8" t="str">
        <f aca="true">IF(B88&lt;TODAY(),"Passé",IF(B88=TODAY(),"Aujourd'hui","À venir"))</f>
        <v>À venir</v>
      </c>
    </row>
    <row r="89" customFormat="false" ht="15" hidden="false" customHeight="false" outlineLevel="0" collapsed="false">
      <c r="A89" s="8" t="n">
        <v>88</v>
      </c>
      <c r="B89" s="9" t="n">
        <v>46375</v>
      </c>
      <c r="C89" s="8" t="str">
        <f aca="false">CHOOSE(WEEKDAY(B89,2),"Lundi","Mardi","Mercredi","Jeudi","Vendredi","Samedi","Dimanche")</f>
        <v>Samedi</v>
      </c>
      <c r="D89" s="8" t="s">
        <v>3</v>
      </c>
      <c r="E89" s="8" t="s">
        <v>39</v>
      </c>
      <c r="F89" s="11"/>
      <c r="G89" s="8" t="str">
        <f aca="true">IF(B89&lt;TODAY(),"Passé",IF(B89=TODAY(),"Aujourd'hui","À venir"))</f>
        <v>À venir</v>
      </c>
    </row>
    <row r="90" customFormat="false" ht="15" hidden="false" customHeight="false" outlineLevel="0" collapsed="false">
      <c r="A90" s="8" t="n">
        <v>89</v>
      </c>
      <c r="B90" s="9" t="n">
        <v>46376</v>
      </c>
      <c r="C90" s="8" t="str">
        <f aca="false">CHOOSE(WEEKDAY(B90,2),"Lundi","Mardi","Mercredi","Jeudi","Vendredi","Samedi","Dimanche")</f>
        <v>Dimanche</v>
      </c>
      <c r="D90" s="8" t="s">
        <v>3</v>
      </c>
      <c r="E90" s="8" t="s">
        <v>40</v>
      </c>
      <c r="F90" s="11"/>
      <c r="G90" s="8" t="str">
        <f aca="true">IF(B90&lt;TODAY(),"Passé",IF(B90=TODAY(),"Aujourd'hui","À venir"))</f>
        <v>À venir</v>
      </c>
    </row>
    <row r="91" customFormat="false" ht="15" hidden="false" customHeight="false" outlineLevel="0" collapsed="false">
      <c r="A91" s="8" t="n">
        <v>90</v>
      </c>
      <c r="B91" s="9" t="n">
        <v>46377</v>
      </c>
      <c r="C91" s="8" t="str">
        <f aca="false">CHOOSE(WEEKDAY(B91,2),"Lundi","Mardi","Mercredi","Jeudi","Vendredi","Samedi","Dimanche")</f>
        <v>Lundi</v>
      </c>
      <c r="D91" s="8" t="s">
        <v>3</v>
      </c>
      <c r="E91" s="8" t="s">
        <v>41</v>
      </c>
      <c r="F91" s="11"/>
      <c r="G91" s="8" t="str">
        <f aca="true">IF(B91&lt;TODAY(),"Passé",IF(B91=TODAY(),"Aujourd'hui","À venir"))</f>
        <v>À venir</v>
      </c>
    </row>
    <row r="92" customFormat="false" ht="15" hidden="false" customHeight="false" outlineLevel="0" collapsed="false">
      <c r="A92" s="8" t="n">
        <v>91</v>
      </c>
      <c r="B92" s="9" t="n">
        <v>46378</v>
      </c>
      <c r="C92" s="8" t="str">
        <f aca="false">CHOOSE(WEEKDAY(B92,2),"Lundi","Mardi","Mercredi","Jeudi","Vendredi","Samedi","Dimanche")</f>
        <v>Mardi</v>
      </c>
      <c r="D92" s="8" t="s">
        <v>3</v>
      </c>
      <c r="E92" s="8" t="s">
        <v>33</v>
      </c>
      <c r="F92" s="11"/>
      <c r="G92" s="8" t="str">
        <f aca="true">IF(B92&lt;TODAY(),"Passé",IF(B92=TODAY(),"Aujourd'hui","À venir"))</f>
        <v>À venir</v>
      </c>
    </row>
    <row r="93" customFormat="false" ht="15" hidden="false" customHeight="false" outlineLevel="0" collapsed="false">
      <c r="A93" s="8" t="n">
        <v>92</v>
      </c>
      <c r="B93" s="9" t="n">
        <v>46379</v>
      </c>
      <c r="C93" s="8" t="str">
        <f aca="false">CHOOSE(WEEKDAY(B93,2),"Lundi","Mardi","Mercredi","Jeudi","Vendredi","Samedi","Dimanche")</f>
        <v>Mercredi</v>
      </c>
      <c r="D93" s="8" t="s">
        <v>3</v>
      </c>
      <c r="E93" s="8" t="s">
        <v>35</v>
      </c>
      <c r="F93" s="11"/>
      <c r="G93" s="8" t="str">
        <f aca="true">IF(B93&lt;TODAY(),"Passé",IF(B93=TODAY(),"Aujourd'hui","À venir"))</f>
        <v>À venir</v>
      </c>
    </row>
    <row r="94" customFormat="false" ht="15" hidden="false" customHeight="false" outlineLevel="0" collapsed="false">
      <c r="A94" s="8" t="n">
        <v>93</v>
      </c>
      <c r="B94" s="9" t="n">
        <v>46380</v>
      </c>
      <c r="C94" s="8" t="str">
        <f aca="false">CHOOSE(WEEKDAY(B94,2),"Lundi","Mardi","Mercredi","Jeudi","Vendredi","Samedi","Dimanche")</f>
        <v>Jeudi</v>
      </c>
      <c r="D94" s="8" t="s">
        <v>3</v>
      </c>
      <c r="E94" s="8" t="s">
        <v>37</v>
      </c>
      <c r="F94" s="11"/>
      <c r="G94" s="8" t="str">
        <f aca="true">IF(B94&lt;TODAY(),"Passé",IF(B94=TODAY(),"Aujourd'hui","À venir"))</f>
        <v>À venir</v>
      </c>
    </row>
    <row r="95" customFormat="false" ht="15" hidden="false" customHeight="false" outlineLevel="0" collapsed="false">
      <c r="A95" s="8" t="n">
        <v>94</v>
      </c>
      <c r="B95" s="9" t="n">
        <v>46381</v>
      </c>
      <c r="C95" s="8" t="str">
        <f aca="false">CHOOSE(WEEKDAY(B95,2),"Lundi","Mardi","Mercredi","Jeudi","Vendredi","Samedi","Dimanche")</f>
        <v>Vendredi</v>
      </c>
      <c r="D95" s="8" t="s">
        <v>3</v>
      </c>
      <c r="E95" s="8" t="s">
        <v>39</v>
      </c>
      <c r="F95" s="11"/>
      <c r="G95" s="8" t="str">
        <f aca="true">IF(B95&lt;TODAY(),"Passé",IF(B95=TODAY(),"Aujourd'hui","À venir"))</f>
        <v>À venir</v>
      </c>
    </row>
    <row r="96" customFormat="false" ht="15" hidden="false" customHeight="false" outlineLevel="0" collapsed="false">
      <c r="A96" s="8" t="n">
        <v>95</v>
      </c>
      <c r="B96" s="9" t="n">
        <v>46382</v>
      </c>
      <c r="C96" s="8" t="str">
        <f aca="false">CHOOSE(WEEKDAY(B96,2),"Lundi","Mardi","Mercredi","Jeudi","Vendredi","Samedi","Dimanche")</f>
        <v>Samedi</v>
      </c>
      <c r="D96" s="8" t="s">
        <v>3</v>
      </c>
      <c r="E96" s="8" t="s">
        <v>40</v>
      </c>
      <c r="F96" s="11"/>
      <c r="G96" s="8" t="str">
        <f aca="true">IF(B96&lt;TODAY(),"Passé",IF(B96=TODAY(),"Aujourd'hui","À venir"))</f>
        <v>À venir</v>
      </c>
    </row>
    <row r="97" customFormat="false" ht="15" hidden="false" customHeight="false" outlineLevel="0" collapsed="false">
      <c r="A97" s="8" t="n">
        <v>96</v>
      </c>
      <c r="B97" s="9" t="n">
        <v>46383</v>
      </c>
      <c r="C97" s="8" t="str">
        <f aca="false">CHOOSE(WEEKDAY(B97,2),"Lundi","Mardi","Mercredi","Jeudi","Vendredi","Samedi","Dimanche")</f>
        <v>Dimanche</v>
      </c>
      <c r="D97" s="8" t="s">
        <v>3</v>
      </c>
      <c r="E97" s="8" t="s">
        <v>41</v>
      </c>
      <c r="F97" s="11"/>
      <c r="G97" s="8" t="str">
        <f aca="true">IF(B97&lt;TODAY(),"Passé",IF(B97=TODAY(),"Aujourd'hui","À venir"))</f>
        <v>À venir</v>
      </c>
    </row>
    <row r="98" customFormat="false" ht="15" hidden="false" customHeight="false" outlineLevel="0" collapsed="false">
      <c r="A98" s="8" t="n">
        <v>97</v>
      </c>
      <c r="B98" s="9" t="n">
        <v>46384</v>
      </c>
      <c r="C98" s="8" t="str">
        <f aca="false">CHOOSE(WEEKDAY(B98,2),"Lundi","Mardi","Mercredi","Jeudi","Vendredi","Samedi","Dimanche")</f>
        <v>Lundi</v>
      </c>
      <c r="D98" s="8" t="s">
        <v>3</v>
      </c>
      <c r="E98" s="8" t="s">
        <v>33</v>
      </c>
      <c r="F98" s="11"/>
      <c r="G98" s="8" t="str">
        <f aca="true">IF(B98&lt;TODAY(),"Passé",IF(B98=TODAY(),"Aujourd'hui","À venir"))</f>
        <v>À venir</v>
      </c>
    </row>
    <row r="99" customFormat="false" ht="15" hidden="false" customHeight="false" outlineLevel="0" collapsed="false">
      <c r="A99" s="8" t="n">
        <v>98</v>
      </c>
      <c r="B99" s="9" t="n">
        <v>46385</v>
      </c>
      <c r="C99" s="8" t="str">
        <f aca="false">CHOOSE(WEEKDAY(B99,2),"Lundi","Mardi","Mercredi","Jeudi","Vendredi","Samedi","Dimanche")</f>
        <v>Mardi</v>
      </c>
      <c r="D99" s="8" t="s">
        <v>3</v>
      </c>
      <c r="E99" s="8" t="s">
        <v>35</v>
      </c>
      <c r="F99" s="11"/>
      <c r="G99" s="8" t="str">
        <f aca="true">IF(B99&lt;TODAY(),"Passé",IF(B99=TODAY(),"Aujourd'hui","À venir"))</f>
        <v>À venir</v>
      </c>
    </row>
    <row r="100" customFormat="false" ht="15" hidden="false" customHeight="false" outlineLevel="0" collapsed="false">
      <c r="A100" s="8" t="n">
        <v>99</v>
      </c>
      <c r="B100" s="9" t="n">
        <v>46386</v>
      </c>
      <c r="C100" s="8" t="str">
        <f aca="false">CHOOSE(WEEKDAY(B100,2),"Lundi","Mardi","Mercredi","Jeudi","Vendredi","Samedi","Dimanche")</f>
        <v>Mercredi</v>
      </c>
      <c r="D100" s="8" t="s">
        <v>3</v>
      </c>
      <c r="E100" s="8" t="s">
        <v>37</v>
      </c>
      <c r="F100" s="11"/>
      <c r="G100" s="8" t="str">
        <f aca="true">IF(B100&lt;TODAY(),"Passé",IF(B100=TODAY(),"Aujourd'hui","À venir"))</f>
        <v>À venir</v>
      </c>
    </row>
    <row r="101" customFormat="false" ht="15" hidden="false" customHeight="false" outlineLevel="0" collapsed="false">
      <c r="A101" s="8" t="n">
        <v>100</v>
      </c>
      <c r="B101" s="9" t="n">
        <v>46387</v>
      </c>
      <c r="C101" s="8" t="str">
        <f aca="false">CHOOSE(WEEKDAY(B101,2),"Lundi","Mardi","Mercredi","Jeudi","Vendredi","Samedi","Dimanche")</f>
        <v>Jeudi</v>
      </c>
      <c r="D101" s="8" t="s">
        <v>3</v>
      </c>
      <c r="E101" s="8" t="s">
        <v>39</v>
      </c>
      <c r="F101" s="11"/>
      <c r="G101" s="8" t="str">
        <f aca="true">IF(B101&lt;TODAY(),"Passé",IF(B101=TODAY(),"Aujourd'hui","À venir"))</f>
        <v>À venir</v>
      </c>
    </row>
    <row r="102" customFormat="false" ht="15" hidden="false" customHeight="false" outlineLevel="0" collapsed="false">
      <c r="A102" s="8" t="n">
        <v>101</v>
      </c>
      <c r="B102" s="9" t="n">
        <v>46388</v>
      </c>
      <c r="C102" s="8" t="str">
        <f aca="false">CHOOSE(WEEKDAY(B102,2),"Lundi","Mardi","Mercredi","Jeudi","Vendredi","Samedi","Dimanche")</f>
        <v>Vendredi</v>
      </c>
      <c r="D102" s="8" t="s">
        <v>3</v>
      </c>
      <c r="E102" s="8" t="s">
        <v>40</v>
      </c>
      <c r="F102" s="11"/>
      <c r="G102" s="8" t="str">
        <f aca="true">IF(B102&lt;TODAY(),"Passé",IF(B102=TODAY(),"Aujourd'hui","À venir"))</f>
        <v>À venir</v>
      </c>
    </row>
    <row r="103" customFormat="false" ht="15" hidden="false" customHeight="false" outlineLevel="0" collapsed="false">
      <c r="A103" s="8" t="n">
        <v>102</v>
      </c>
      <c r="B103" s="9" t="n">
        <v>46389</v>
      </c>
      <c r="C103" s="8" t="str">
        <f aca="false">CHOOSE(WEEKDAY(B103,2),"Lundi","Mardi","Mercredi","Jeudi","Vendredi","Samedi","Dimanche")</f>
        <v>Samedi</v>
      </c>
      <c r="D103" s="8" t="s">
        <v>3</v>
      </c>
      <c r="E103" s="8" t="s">
        <v>41</v>
      </c>
      <c r="F103" s="11"/>
      <c r="G103" s="8" t="str">
        <f aca="true">IF(B103&lt;TODAY(),"Passé",IF(B103=TODAY(),"Aujourd'hui","À venir"))</f>
        <v>À venir</v>
      </c>
    </row>
    <row r="104" customFormat="false" ht="15" hidden="false" customHeight="false" outlineLevel="0" collapsed="false">
      <c r="A104" s="8" t="n">
        <v>103</v>
      </c>
      <c r="B104" s="9" t="n">
        <v>46390</v>
      </c>
      <c r="C104" s="8" t="str">
        <f aca="false">CHOOSE(WEEKDAY(B104,2),"Lundi","Mardi","Mercredi","Jeudi","Vendredi","Samedi","Dimanche")</f>
        <v>Dimanche</v>
      </c>
      <c r="D104" s="8" t="s">
        <v>3</v>
      </c>
      <c r="E104" s="8" t="s">
        <v>33</v>
      </c>
      <c r="F104" s="11"/>
      <c r="G104" s="8" t="str">
        <f aca="true">IF(B104&lt;TODAY(),"Passé",IF(B104=TODAY(),"Aujourd'hui","À venir"))</f>
        <v>À venir</v>
      </c>
    </row>
    <row r="105" customFormat="false" ht="15" hidden="false" customHeight="false" outlineLevel="0" collapsed="false">
      <c r="A105" s="8" t="n">
        <v>104</v>
      </c>
      <c r="B105" s="9" t="n">
        <v>46391</v>
      </c>
      <c r="C105" s="8" t="str">
        <f aca="false">CHOOSE(WEEKDAY(B105,2),"Lundi","Mardi","Mercredi","Jeudi","Vendredi","Samedi","Dimanche")</f>
        <v>Lundi</v>
      </c>
      <c r="D105" s="8" t="s">
        <v>3</v>
      </c>
      <c r="E105" s="8" t="s">
        <v>35</v>
      </c>
      <c r="F105" s="11"/>
      <c r="G105" s="8" t="str">
        <f aca="true">IF(B105&lt;TODAY(),"Passé",IF(B105=TODAY(),"Aujourd'hui","À venir"))</f>
        <v>À venir</v>
      </c>
    </row>
    <row r="106" customFormat="false" ht="15" hidden="false" customHeight="false" outlineLevel="0" collapsed="false">
      <c r="A106" s="8" t="n">
        <v>105</v>
      </c>
      <c r="B106" s="9" t="n">
        <v>46392</v>
      </c>
      <c r="C106" s="8" t="str">
        <f aca="false">CHOOSE(WEEKDAY(B106,2),"Lundi","Mardi","Mercredi","Jeudi","Vendredi","Samedi","Dimanche")</f>
        <v>Mardi</v>
      </c>
      <c r="D106" s="8" t="s">
        <v>3</v>
      </c>
      <c r="E106" s="8" t="s">
        <v>37</v>
      </c>
      <c r="F106" s="11"/>
      <c r="G106" s="8" t="str">
        <f aca="true">IF(B106&lt;TODAY(),"Passé",IF(B106=TODAY(),"Aujourd'hui","À venir"))</f>
        <v>À venir</v>
      </c>
    </row>
    <row r="107" customFormat="false" ht="15" hidden="false" customHeight="false" outlineLevel="0" collapsed="false">
      <c r="A107" s="8" t="n">
        <v>106</v>
      </c>
      <c r="B107" s="9" t="n">
        <v>46393</v>
      </c>
      <c r="C107" s="8" t="str">
        <f aca="false">CHOOSE(WEEKDAY(B107,2),"Lundi","Mardi","Mercredi","Jeudi","Vendredi","Samedi","Dimanche")</f>
        <v>Mercredi</v>
      </c>
      <c r="D107" s="8" t="s">
        <v>3</v>
      </c>
      <c r="E107" s="8" t="s">
        <v>39</v>
      </c>
      <c r="F107" s="11"/>
      <c r="G107" s="8" t="str">
        <f aca="true">IF(B107&lt;TODAY(),"Passé",IF(B107=TODAY(),"Aujourd'hui","À venir"))</f>
        <v>À venir</v>
      </c>
    </row>
    <row r="108" customFormat="false" ht="15" hidden="false" customHeight="false" outlineLevel="0" collapsed="false">
      <c r="A108" s="8" t="n">
        <v>107</v>
      </c>
      <c r="B108" s="9" t="n">
        <v>46394</v>
      </c>
      <c r="C108" s="8" t="str">
        <f aca="false">CHOOSE(WEEKDAY(B108,2),"Lundi","Mardi","Mercredi","Jeudi","Vendredi","Samedi","Dimanche")</f>
        <v>Jeudi</v>
      </c>
      <c r="D108" s="8" t="s">
        <v>3</v>
      </c>
      <c r="E108" s="8" t="s">
        <v>40</v>
      </c>
      <c r="F108" s="11"/>
      <c r="G108" s="8" t="str">
        <f aca="true">IF(B108&lt;TODAY(),"Passé",IF(B108=TODAY(),"Aujourd'hui","À venir"))</f>
        <v>À venir</v>
      </c>
    </row>
    <row r="109" customFormat="false" ht="15" hidden="false" customHeight="false" outlineLevel="0" collapsed="false">
      <c r="A109" s="8" t="n">
        <v>108</v>
      </c>
      <c r="B109" s="9" t="n">
        <v>46395</v>
      </c>
      <c r="C109" s="8" t="str">
        <f aca="false">CHOOSE(WEEKDAY(B109,2),"Lundi","Mardi","Mercredi","Jeudi","Vendredi","Samedi","Dimanche")</f>
        <v>Vendredi</v>
      </c>
      <c r="D109" s="8" t="s">
        <v>3</v>
      </c>
      <c r="E109" s="8" t="s">
        <v>41</v>
      </c>
      <c r="F109" s="11"/>
      <c r="G109" s="8" t="str">
        <f aca="true">IF(B109&lt;TODAY(),"Passé",IF(B109=TODAY(),"Aujourd'hui","À venir"))</f>
        <v>À venir</v>
      </c>
    </row>
    <row r="110" customFormat="false" ht="15" hidden="false" customHeight="false" outlineLevel="0" collapsed="false">
      <c r="A110" s="8" t="n">
        <v>109</v>
      </c>
      <c r="B110" s="9" t="n">
        <v>46396</v>
      </c>
      <c r="C110" s="8" t="str">
        <f aca="false">CHOOSE(WEEKDAY(B110,2),"Lundi","Mardi","Mercredi","Jeudi","Vendredi","Samedi","Dimanche")</f>
        <v>Samedi</v>
      </c>
      <c r="D110" s="8" t="s">
        <v>3</v>
      </c>
      <c r="E110" s="8" t="s">
        <v>33</v>
      </c>
      <c r="F110" s="11"/>
      <c r="G110" s="8" t="str">
        <f aca="true">IF(B110&lt;TODAY(),"Passé",IF(B110=TODAY(),"Aujourd'hui","À venir"))</f>
        <v>À venir</v>
      </c>
    </row>
    <row r="111" customFormat="false" ht="15" hidden="false" customHeight="false" outlineLevel="0" collapsed="false">
      <c r="A111" s="8" t="n">
        <v>110</v>
      </c>
      <c r="B111" s="9" t="n">
        <v>46397</v>
      </c>
      <c r="C111" s="8" t="str">
        <f aca="false">CHOOSE(WEEKDAY(B111,2),"Lundi","Mardi","Mercredi","Jeudi","Vendredi","Samedi","Dimanche")</f>
        <v>Dimanche</v>
      </c>
      <c r="D111" s="8" t="s">
        <v>3</v>
      </c>
      <c r="E111" s="8" t="s">
        <v>35</v>
      </c>
      <c r="F111" s="11"/>
      <c r="G111" s="8" t="str">
        <f aca="true">IF(B111&lt;TODAY(),"Passé",IF(B111=TODAY(),"Aujourd'hui","À venir"))</f>
        <v>À venir</v>
      </c>
    </row>
    <row r="112" customFormat="false" ht="15" hidden="false" customHeight="false" outlineLevel="0" collapsed="false">
      <c r="A112" s="8" t="n">
        <v>111</v>
      </c>
      <c r="B112" s="9" t="n">
        <v>46398</v>
      </c>
      <c r="C112" s="8" t="str">
        <f aca="false">CHOOSE(WEEKDAY(B112,2),"Lundi","Mardi","Mercredi","Jeudi","Vendredi","Samedi","Dimanche")</f>
        <v>Lundi</v>
      </c>
      <c r="D112" s="8" t="s">
        <v>3</v>
      </c>
      <c r="E112" s="8" t="s">
        <v>37</v>
      </c>
      <c r="F112" s="11"/>
      <c r="G112" s="8" t="str">
        <f aca="true">IF(B112&lt;TODAY(),"Passé",IF(B112=TODAY(),"Aujourd'hui","À venir"))</f>
        <v>À venir</v>
      </c>
    </row>
    <row r="113" customFormat="false" ht="15" hidden="false" customHeight="false" outlineLevel="0" collapsed="false">
      <c r="A113" s="8" t="n">
        <v>112</v>
      </c>
      <c r="B113" s="9" t="n">
        <v>46399</v>
      </c>
      <c r="C113" s="8" t="str">
        <f aca="false">CHOOSE(WEEKDAY(B113,2),"Lundi","Mardi","Mercredi","Jeudi","Vendredi","Samedi","Dimanche")</f>
        <v>Mardi</v>
      </c>
      <c r="D113" s="8" t="s">
        <v>3</v>
      </c>
      <c r="E113" s="8" t="s">
        <v>39</v>
      </c>
      <c r="F113" s="11"/>
      <c r="G113" s="8" t="str">
        <f aca="true">IF(B113&lt;TODAY(),"Passé",IF(B113=TODAY(),"Aujourd'hui","À venir"))</f>
        <v>À venir</v>
      </c>
    </row>
    <row r="114" customFormat="false" ht="15" hidden="false" customHeight="false" outlineLevel="0" collapsed="false">
      <c r="A114" s="8" t="n">
        <v>113</v>
      </c>
      <c r="B114" s="9" t="n">
        <v>46400</v>
      </c>
      <c r="C114" s="8" t="str">
        <f aca="false">CHOOSE(WEEKDAY(B114,2),"Lundi","Mardi","Mercredi","Jeudi","Vendredi","Samedi","Dimanche")</f>
        <v>Mercredi</v>
      </c>
      <c r="D114" s="8" t="s">
        <v>3</v>
      </c>
      <c r="E114" s="8" t="s">
        <v>40</v>
      </c>
      <c r="F114" s="11"/>
      <c r="G114" s="8" t="str">
        <f aca="true">IF(B114&lt;TODAY(),"Passé",IF(B114=TODAY(),"Aujourd'hui","À venir"))</f>
        <v>À venir</v>
      </c>
    </row>
    <row r="115" customFormat="false" ht="15" hidden="false" customHeight="false" outlineLevel="0" collapsed="false">
      <c r="A115" s="8" t="n">
        <v>114</v>
      </c>
      <c r="B115" s="9" t="n">
        <v>46401</v>
      </c>
      <c r="C115" s="8" t="str">
        <f aca="false">CHOOSE(WEEKDAY(B115,2),"Lundi","Mardi","Mercredi","Jeudi","Vendredi","Samedi","Dimanche")</f>
        <v>Jeudi</v>
      </c>
      <c r="D115" s="8" t="s">
        <v>3</v>
      </c>
      <c r="E115" s="8" t="s">
        <v>41</v>
      </c>
      <c r="F115" s="11"/>
      <c r="G115" s="8" t="str">
        <f aca="true">IF(B115&lt;TODAY(),"Passé",IF(B115=TODAY(),"Aujourd'hui","À venir"))</f>
        <v>À venir</v>
      </c>
    </row>
    <row r="116" customFormat="false" ht="15" hidden="false" customHeight="false" outlineLevel="0" collapsed="false">
      <c r="A116" s="8" t="n">
        <v>115</v>
      </c>
      <c r="B116" s="9" t="n">
        <v>46402</v>
      </c>
      <c r="C116" s="8" t="str">
        <f aca="false">CHOOSE(WEEKDAY(B116,2),"Lundi","Mardi","Mercredi","Jeudi","Vendredi","Samedi","Dimanche")</f>
        <v>Vendredi</v>
      </c>
      <c r="D116" s="8" t="s">
        <v>3</v>
      </c>
      <c r="E116" s="8" t="s">
        <v>33</v>
      </c>
      <c r="F116" s="11"/>
      <c r="G116" s="8" t="str">
        <f aca="true">IF(B116&lt;TODAY(),"Passé",IF(B116=TODAY(),"Aujourd'hui","À venir"))</f>
        <v>À venir</v>
      </c>
    </row>
    <row r="117" customFormat="false" ht="15" hidden="false" customHeight="false" outlineLevel="0" collapsed="false">
      <c r="A117" s="8" t="n">
        <v>116</v>
      </c>
      <c r="B117" s="9" t="n">
        <v>46403</v>
      </c>
      <c r="C117" s="8" t="str">
        <f aca="false">CHOOSE(WEEKDAY(B117,2),"Lundi","Mardi","Mercredi","Jeudi","Vendredi","Samedi","Dimanche")</f>
        <v>Samedi</v>
      </c>
      <c r="D117" s="8" t="s">
        <v>3</v>
      </c>
      <c r="E117" s="8" t="s">
        <v>35</v>
      </c>
      <c r="F117" s="11"/>
      <c r="G117" s="8" t="str">
        <f aca="true">IF(B117&lt;TODAY(),"Passé",IF(B117=TODAY(),"Aujourd'hui","À venir"))</f>
        <v>À venir</v>
      </c>
    </row>
    <row r="118" customFormat="false" ht="15" hidden="false" customHeight="false" outlineLevel="0" collapsed="false">
      <c r="A118" s="8" t="n">
        <v>117</v>
      </c>
      <c r="B118" s="9" t="n">
        <v>46404</v>
      </c>
      <c r="C118" s="8" t="str">
        <f aca="false">CHOOSE(WEEKDAY(B118,2),"Lundi","Mardi","Mercredi","Jeudi","Vendredi","Samedi","Dimanche")</f>
        <v>Dimanche</v>
      </c>
      <c r="D118" s="8" t="s">
        <v>3</v>
      </c>
      <c r="E118" s="8" t="s">
        <v>37</v>
      </c>
      <c r="F118" s="11"/>
      <c r="G118" s="8" t="str">
        <f aca="true">IF(B118&lt;TODAY(),"Passé",IF(B118=TODAY(),"Aujourd'hui","À venir"))</f>
        <v>À venir</v>
      </c>
    </row>
    <row r="119" customFormat="false" ht="15" hidden="false" customHeight="false" outlineLevel="0" collapsed="false">
      <c r="A119" s="8" t="n">
        <v>118</v>
      </c>
      <c r="B119" s="9" t="n">
        <v>46405</v>
      </c>
      <c r="C119" s="8" t="str">
        <f aca="false">CHOOSE(WEEKDAY(B119,2),"Lundi","Mardi","Mercredi","Jeudi","Vendredi","Samedi","Dimanche")</f>
        <v>Lundi</v>
      </c>
      <c r="D119" s="8" t="s">
        <v>3</v>
      </c>
      <c r="E119" s="8" t="s">
        <v>39</v>
      </c>
      <c r="F119" s="11"/>
      <c r="G119" s="8" t="str">
        <f aca="true">IF(B119&lt;TODAY(),"Passé",IF(B119=TODAY(),"Aujourd'hui","À venir"))</f>
        <v>À venir</v>
      </c>
    </row>
    <row r="120" customFormat="false" ht="15" hidden="false" customHeight="false" outlineLevel="0" collapsed="false">
      <c r="A120" s="8" t="n">
        <v>119</v>
      </c>
      <c r="B120" s="9" t="n">
        <v>46406</v>
      </c>
      <c r="C120" s="8" t="str">
        <f aca="false">CHOOSE(WEEKDAY(B120,2),"Lundi","Mardi","Mercredi","Jeudi","Vendredi","Samedi","Dimanche")</f>
        <v>Mardi</v>
      </c>
      <c r="D120" s="8" t="s">
        <v>3</v>
      </c>
      <c r="E120" s="8" t="s">
        <v>40</v>
      </c>
      <c r="F120" s="11"/>
      <c r="G120" s="8" t="str">
        <f aca="true">IF(B120&lt;TODAY(),"Passé",IF(B120=TODAY(),"Aujourd'hui","À venir"))</f>
        <v>À venir</v>
      </c>
    </row>
    <row r="121" customFormat="false" ht="15" hidden="false" customHeight="false" outlineLevel="0" collapsed="false">
      <c r="A121" s="8" t="n">
        <v>120</v>
      </c>
      <c r="B121" s="9" t="n">
        <v>46407</v>
      </c>
      <c r="C121" s="8" t="str">
        <f aca="false">CHOOSE(WEEKDAY(B121,2),"Lundi","Mardi","Mercredi","Jeudi","Vendredi","Samedi","Dimanche")</f>
        <v>Mercredi</v>
      </c>
      <c r="D121" s="8" t="s">
        <v>3</v>
      </c>
      <c r="E121" s="8" t="s">
        <v>41</v>
      </c>
      <c r="F121" s="11"/>
      <c r="G121" s="8" t="str">
        <f aca="true">IF(B121&lt;TODAY(),"Passé",IF(B121=TODAY(),"Aujourd'hui","À venir"))</f>
        <v>À venir</v>
      </c>
    </row>
    <row r="122" customFormat="false" ht="15" hidden="false" customHeight="false" outlineLevel="0" collapsed="false">
      <c r="A122" s="8" t="n">
        <v>121</v>
      </c>
      <c r="B122" s="9" t="n">
        <v>46408</v>
      </c>
      <c r="C122" s="8" t="str">
        <f aca="false">CHOOSE(WEEKDAY(B122,2),"Lundi","Mardi","Mercredi","Jeudi","Vendredi","Samedi","Dimanche")</f>
        <v>Jeudi</v>
      </c>
      <c r="D122" s="8" t="s">
        <v>3</v>
      </c>
      <c r="E122" s="8" t="s">
        <v>33</v>
      </c>
      <c r="F122" s="11"/>
      <c r="G122" s="8" t="str">
        <f aca="true">IF(B122&lt;TODAY(),"Passé",IF(B122=TODAY(),"Aujourd'hui","À venir"))</f>
        <v>À venir</v>
      </c>
    </row>
    <row r="123" customFormat="false" ht="15" hidden="false" customHeight="false" outlineLevel="0" collapsed="false">
      <c r="A123" s="8" t="n">
        <v>122</v>
      </c>
      <c r="B123" s="9" t="n">
        <v>46409</v>
      </c>
      <c r="C123" s="8" t="str">
        <f aca="false">CHOOSE(WEEKDAY(B123,2),"Lundi","Mardi","Mercredi","Jeudi","Vendredi","Samedi","Dimanche")</f>
        <v>Vendredi</v>
      </c>
      <c r="D123" s="8" t="s">
        <v>3</v>
      </c>
      <c r="E123" s="8" t="s">
        <v>35</v>
      </c>
      <c r="F123" s="11"/>
      <c r="G123" s="8" t="str">
        <f aca="true">IF(B123&lt;TODAY(),"Passé",IF(B123=TODAY(),"Aujourd'hui","À venir"))</f>
        <v>À venir</v>
      </c>
    </row>
    <row r="124" customFormat="false" ht="15" hidden="false" customHeight="false" outlineLevel="0" collapsed="false">
      <c r="A124" s="8" t="n">
        <v>123</v>
      </c>
      <c r="B124" s="9" t="n">
        <v>46410</v>
      </c>
      <c r="C124" s="8" t="str">
        <f aca="false">CHOOSE(WEEKDAY(B124,2),"Lundi","Mardi","Mercredi","Jeudi","Vendredi","Samedi","Dimanche")</f>
        <v>Samedi</v>
      </c>
      <c r="D124" s="8" t="s">
        <v>3</v>
      </c>
      <c r="E124" s="8" t="s">
        <v>37</v>
      </c>
      <c r="F124" s="11"/>
      <c r="G124" s="8" t="str">
        <f aca="true">IF(B124&lt;TODAY(),"Passé",IF(B124=TODAY(),"Aujourd'hui","À venir"))</f>
        <v>À venir</v>
      </c>
    </row>
    <row r="125" customFormat="false" ht="15" hidden="false" customHeight="false" outlineLevel="0" collapsed="false">
      <c r="A125" s="8" t="n">
        <v>124</v>
      </c>
      <c r="B125" s="9" t="n">
        <v>46411</v>
      </c>
      <c r="C125" s="8" t="str">
        <f aca="false">CHOOSE(WEEKDAY(B125,2),"Lundi","Mardi","Mercredi","Jeudi","Vendredi","Samedi","Dimanche")</f>
        <v>Dimanche</v>
      </c>
      <c r="D125" s="8" t="s">
        <v>3</v>
      </c>
      <c r="E125" s="8" t="s">
        <v>39</v>
      </c>
      <c r="F125" s="11"/>
      <c r="G125" s="8" t="str">
        <f aca="true">IF(B125&lt;TODAY(),"Passé",IF(B125=TODAY(),"Aujourd'hui","À venir"))</f>
        <v>À venir</v>
      </c>
    </row>
    <row r="126" customFormat="false" ht="15" hidden="false" customHeight="false" outlineLevel="0" collapsed="false">
      <c r="A126" s="8" t="n">
        <v>125</v>
      </c>
      <c r="B126" s="9" t="n">
        <v>46412</v>
      </c>
      <c r="C126" s="8" t="str">
        <f aca="false">CHOOSE(WEEKDAY(B126,2),"Lundi","Mardi","Mercredi","Jeudi","Vendredi","Samedi","Dimanche")</f>
        <v>Lundi</v>
      </c>
      <c r="D126" s="8" t="s">
        <v>3</v>
      </c>
      <c r="E126" s="8" t="s">
        <v>40</v>
      </c>
      <c r="F126" s="11"/>
      <c r="G126" s="8" t="str">
        <f aca="true">IF(B126&lt;TODAY(),"Passé",IF(B126=TODAY(),"Aujourd'hui","À venir"))</f>
        <v>À venir</v>
      </c>
    </row>
    <row r="127" customFormat="false" ht="15" hidden="false" customHeight="false" outlineLevel="0" collapsed="false">
      <c r="A127" s="8" t="n">
        <v>126</v>
      </c>
      <c r="B127" s="9" t="n">
        <v>46413</v>
      </c>
      <c r="C127" s="8" t="str">
        <f aca="false">CHOOSE(WEEKDAY(B127,2),"Lundi","Mardi","Mercredi","Jeudi","Vendredi","Samedi","Dimanche")</f>
        <v>Mardi</v>
      </c>
      <c r="D127" s="8" t="s">
        <v>3</v>
      </c>
      <c r="E127" s="8" t="s">
        <v>41</v>
      </c>
      <c r="F127" s="11"/>
      <c r="G127" s="8" t="str">
        <f aca="true">IF(B127&lt;TODAY(),"Passé",IF(B127=TODAY(),"Aujourd'hui","À venir"))</f>
        <v>À venir</v>
      </c>
    </row>
    <row r="128" customFormat="false" ht="15" hidden="false" customHeight="false" outlineLevel="0" collapsed="false">
      <c r="A128" s="8" t="n">
        <v>127</v>
      </c>
      <c r="B128" s="9" t="n">
        <v>46414</v>
      </c>
      <c r="C128" s="8" t="str">
        <f aca="false">CHOOSE(WEEKDAY(B128,2),"Lundi","Mardi","Mercredi","Jeudi","Vendredi","Samedi","Dimanche")</f>
        <v>Mercredi</v>
      </c>
      <c r="D128" s="8" t="s">
        <v>3</v>
      </c>
      <c r="E128" s="8" t="s">
        <v>33</v>
      </c>
      <c r="F128" s="11"/>
      <c r="G128" s="8" t="str">
        <f aca="true">IF(B128&lt;TODAY(),"Passé",IF(B128=TODAY(),"Aujourd'hui","À venir"))</f>
        <v>À venir</v>
      </c>
    </row>
    <row r="129" customFormat="false" ht="15" hidden="false" customHeight="false" outlineLevel="0" collapsed="false">
      <c r="A129" s="8" t="n">
        <v>128</v>
      </c>
      <c r="B129" s="9" t="n">
        <v>46415</v>
      </c>
      <c r="C129" s="8" t="str">
        <f aca="false">CHOOSE(WEEKDAY(B129,2),"Lundi","Mardi","Mercredi","Jeudi","Vendredi","Samedi","Dimanche")</f>
        <v>Jeudi</v>
      </c>
      <c r="D129" s="8" t="s">
        <v>3</v>
      </c>
      <c r="E129" s="8" t="s">
        <v>35</v>
      </c>
      <c r="F129" s="11"/>
      <c r="G129" s="8" t="str">
        <f aca="true">IF(B129&lt;TODAY(),"Passé",IF(B129=TODAY(),"Aujourd'hui","À venir"))</f>
        <v>À venir</v>
      </c>
    </row>
    <row r="130" customFormat="false" ht="15" hidden="false" customHeight="false" outlineLevel="0" collapsed="false">
      <c r="A130" s="8" t="n">
        <v>129</v>
      </c>
      <c r="B130" s="9" t="n">
        <v>46416</v>
      </c>
      <c r="C130" s="8" t="str">
        <f aca="false">CHOOSE(WEEKDAY(B130,2),"Lundi","Mardi","Mercredi","Jeudi","Vendredi","Samedi","Dimanche")</f>
        <v>Vendredi</v>
      </c>
      <c r="D130" s="8" t="s">
        <v>3</v>
      </c>
      <c r="E130" s="8" t="s">
        <v>37</v>
      </c>
      <c r="F130" s="11"/>
      <c r="G130" s="8" t="str">
        <f aca="true">IF(B130&lt;TODAY(),"Passé",IF(B130=TODAY(),"Aujourd'hui","À venir"))</f>
        <v>À venir</v>
      </c>
    </row>
    <row r="131" customFormat="false" ht="15" hidden="false" customHeight="false" outlineLevel="0" collapsed="false">
      <c r="A131" s="8" t="n">
        <v>130</v>
      </c>
      <c r="B131" s="9" t="n">
        <v>46417</v>
      </c>
      <c r="C131" s="8" t="str">
        <f aca="false">CHOOSE(WEEKDAY(B131,2),"Lundi","Mardi","Mercredi","Jeudi","Vendredi","Samedi","Dimanche")</f>
        <v>Samedi</v>
      </c>
      <c r="D131" s="8" t="s">
        <v>3</v>
      </c>
      <c r="E131" s="8" t="s">
        <v>39</v>
      </c>
      <c r="F131" s="11"/>
      <c r="G131" s="8" t="str">
        <f aca="true">IF(B131&lt;TODAY(),"Passé",IF(B131=TODAY(),"Aujourd'hui","À venir"))</f>
        <v>À venir</v>
      </c>
    </row>
    <row r="132" customFormat="false" ht="15" hidden="false" customHeight="false" outlineLevel="0" collapsed="false">
      <c r="A132" s="8" t="n">
        <v>131</v>
      </c>
      <c r="B132" s="9" t="n">
        <v>46418</v>
      </c>
      <c r="C132" s="8" t="str">
        <f aca="false">CHOOSE(WEEKDAY(B132,2),"Lundi","Mardi","Mercredi","Jeudi","Vendredi","Samedi","Dimanche")</f>
        <v>Dimanche</v>
      </c>
      <c r="D132" s="8" t="s">
        <v>3</v>
      </c>
      <c r="E132" s="8" t="s">
        <v>40</v>
      </c>
      <c r="F132" s="11"/>
      <c r="G132" s="8" t="str">
        <f aca="true">IF(B132&lt;TODAY(),"Passé",IF(B132=TODAY(),"Aujourd'hui","À venir"))</f>
        <v>À venir</v>
      </c>
    </row>
    <row r="133" customFormat="false" ht="15" hidden="false" customHeight="false" outlineLevel="0" collapsed="false">
      <c r="A133" s="8" t="n">
        <v>132</v>
      </c>
      <c r="B133" s="9" t="n">
        <v>46419</v>
      </c>
      <c r="C133" s="8" t="str">
        <f aca="false">CHOOSE(WEEKDAY(B133,2),"Lundi","Mardi","Mercredi","Jeudi","Vendredi","Samedi","Dimanche")</f>
        <v>Lundi</v>
      </c>
      <c r="D133" s="8" t="s">
        <v>3</v>
      </c>
      <c r="E133" s="8" t="s">
        <v>41</v>
      </c>
      <c r="F133" s="11"/>
      <c r="G133" s="8" t="str">
        <f aca="true">IF(B133&lt;TODAY(),"Passé",IF(B133=TODAY(),"Aujourd'hui","À venir"))</f>
        <v>À venir</v>
      </c>
    </row>
    <row r="134" customFormat="false" ht="15" hidden="false" customHeight="false" outlineLevel="0" collapsed="false">
      <c r="A134" s="8" t="n">
        <v>133</v>
      </c>
      <c r="B134" s="9" t="n">
        <v>46420</v>
      </c>
      <c r="C134" s="8" t="str">
        <f aca="false">CHOOSE(WEEKDAY(B134,2),"Lundi","Mardi","Mercredi","Jeudi","Vendredi","Samedi","Dimanche")</f>
        <v>Mardi</v>
      </c>
      <c r="D134" s="8" t="s">
        <v>3</v>
      </c>
      <c r="E134" s="8" t="s">
        <v>33</v>
      </c>
      <c r="F134" s="11"/>
      <c r="G134" s="8" t="str">
        <f aca="true">IF(B134&lt;TODAY(),"Passé",IF(B134=TODAY(),"Aujourd'hui","À venir"))</f>
        <v>À venir</v>
      </c>
    </row>
    <row r="135" customFormat="false" ht="15" hidden="false" customHeight="false" outlineLevel="0" collapsed="false">
      <c r="A135" s="8" t="n">
        <v>134</v>
      </c>
      <c r="B135" s="9" t="n">
        <v>46421</v>
      </c>
      <c r="C135" s="8" t="str">
        <f aca="false">CHOOSE(WEEKDAY(B135,2),"Lundi","Mardi","Mercredi","Jeudi","Vendredi","Samedi","Dimanche")</f>
        <v>Mercredi</v>
      </c>
      <c r="D135" s="8" t="s">
        <v>3</v>
      </c>
      <c r="E135" s="8" t="s">
        <v>35</v>
      </c>
      <c r="F135" s="11"/>
      <c r="G135" s="8" t="str">
        <f aca="true">IF(B135&lt;TODAY(),"Passé",IF(B135=TODAY(),"Aujourd'hui","À venir"))</f>
        <v>À venir</v>
      </c>
    </row>
    <row r="136" customFormat="false" ht="15" hidden="false" customHeight="false" outlineLevel="0" collapsed="false">
      <c r="A136" s="8" t="n">
        <v>135</v>
      </c>
      <c r="B136" s="9" t="n">
        <v>46422</v>
      </c>
      <c r="C136" s="8" t="str">
        <f aca="false">CHOOSE(WEEKDAY(B136,2),"Lundi","Mardi","Mercredi","Jeudi","Vendredi","Samedi","Dimanche")</f>
        <v>Jeudi</v>
      </c>
      <c r="D136" s="8" t="s">
        <v>3</v>
      </c>
      <c r="E136" s="8" t="s">
        <v>37</v>
      </c>
      <c r="F136" s="11"/>
      <c r="G136" s="8" t="str">
        <f aca="true">IF(B136&lt;TODAY(),"Passé",IF(B136=TODAY(),"Aujourd'hui","À venir"))</f>
        <v>À venir</v>
      </c>
    </row>
    <row r="137" customFormat="false" ht="15" hidden="false" customHeight="false" outlineLevel="0" collapsed="false">
      <c r="A137" s="8" t="n">
        <v>136</v>
      </c>
      <c r="B137" s="9" t="n">
        <v>46423</v>
      </c>
      <c r="C137" s="8" t="str">
        <f aca="false">CHOOSE(WEEKDAY(B137,2),"Lundi","Mardi","Mercredi","Jeudi","Vendredi","Samedi","Dimanche")</f>
        <v>Vendredi</v>
      </c>
      <c r="D137" s="8" t="s">
        <v>3</v>
      </c>
      <c r="E137" s="8" t="s">
        <v>39</v>
      </c>
      <c r="F137" s="11"/>
      <c r="G137" s="8" t="str">
        <f aca="true">IF(B137&lt;TODAY(),"Passé",IF(B137=TODAY(),"Aujourd'hui","À venir"))</f>
        <v>À venir</v>
      </c>
    </row>
    <row r="138" customFormat="false" ht="15" hidden="false" customHeight="false" outlineLevel="0" collapsed="false">
      <c r="A138" s="8" t="n">
        <v>137</v>
      </c>
      <c r="B138" s="9" t="n">
        <v>46424</v>
      </c>
      <c r="C138" s="8" t="str">
        <f aca="false">CHOOSE(WEEKDAY(B138,2),"Lundi","Mardi","Mercredi","Jeudi","Vendredi","Samedi","Dimanche")</f>
        <v>Samedi</v>
      </c>
      <c r="D138" s="8" t="s">
        <v>3</v>
      </c>
      <c r="E138" s="8" t="s">
        <v>40</v>
      </c>
      <c r="F138" s="11"/>
      <c r="G138" s="8" t="str">
        <f aca="true">IF(B138&lt;TODAY(),"Passé",IF(B138=TODAY(),"Aujourd'hui","À venir"))</f>
        <v>À venir</v>
      </c>
    </row>
    <row r="139" customFormat="false" ht="15" hidden="false" customHeight="false" outlineLevel="0" collapsed="false">
      <c r="A139" s="8" t="n">
        <v>138</v>
      </c>
      <c r="B139" s="9" t="n">
        <v>46425</v>
      </c>
      <c r="C139" s="8" t="str">
        <f aca="false">CHOOSE(WEEKDAY(B139,2),"Lundi","Mardi","Mercredi","Jeudi","Vendredi","Samedi","Dimanche")</f>
        <v>Dimanche</v>
      </c>
      <c r="D139" s="8" t="s">
        <v>3</v>
      </c>
      <c r="E139" s="8" t="s">
        <v>41</v>
      </c>
      <c r="F139" s="11"/>
      <c r="G139" s="8" t="str">
        <f aca="true">IF(B139&lt;TODAY(),"Passé",IF(B139=TODAY(),"Aujourd'hui","À venir"))</f>
        <v>À venir</v>
      </c>
    </row>
    <row r="140" customFormat="false" ht="15" hidden="false" customHeight="false" outlineLevel="0" collapsed="false">
      <c r="A140" s="8" t="n">
        <v>139</v>
      </c>
      <c r="B140" s="9" t="n">
        <v>46426</v>
      </c>
      <c r="C140" s="8" t="str">
        <f aca="false">CHOOSE(WEEKDAY(B140,2),"Lundi","Mardi","Mercredi","Jeudi","Vendredi","Samedi","Dimanche")</f>
        <v>Lundi</v>
      </c>
      <c r="D140" s="8" t="s">
        <v>3</v>
      </c>
      <c r="E140" s="8" t="s">
        <v>33</v>
      </c>
      <c r="F140" s="11"/>
      <c r="G140" s="8" t="str">
        <f aca="true">IF(B140&lt;TODAY(),"Passé",IF(B140=TODAY(),"Aujourd'hui","À venir"))</f>
        <v>À venir</v>
      </c>
    </row>
    <row r="141" customFormat="false" ht="15" hidden="false" customHeight="false" outlineLevel="0" collapsed="false">
      <c r="A141" s="8" t="n">
        <v>140</v>
      </c>
      <c r="B141" s="9" t="n">
        <v>46427</v>
      </c>
      <c r="C141" s="8" t="str">
        <f aca="false">CHOOSE(WEEKDAY(B141,2),"Lundi","Mardi","Mercredi","Jeudi","Vendredi","Samedi","Dimanche")</f>
        <v>Mardi</v>
      </c>
      <c r="D141" s="8" t="s">
        <v>3</v>
      </c>
      <c r="E141" s="8" t="s">
        <v>35</v>
      </c>
      <c r="F141" s="11"/>
      <c r="G141" s="8" t="str">
        <f aca="true">IF(B141&lt;TODAY(),"Passé",IF(B141=TODAY(),"Aujourd'hui","À venir"))</f>
        <v>À venir</v>
      </c>
    </row>
    <row r="142" customFormat="false" ht="15" hidden="false" customHeight="false" outlineLevel="0" collapsed="false">
      <c r="A142" s="8" t="n">
        <v>141</v>
      </c>
      <c r="B142" s="9" t="n">
        <v>46428</v>
      </c>
      <c r="C142" s="8" t="str">
        <f aca="false">CHOOSE(WEEKDAY(B142,2),"Lundi","Mardi","Mercredi","Jeudi","Vendredi","Samedi","Dimanche")</f>
        <v>Mercredi</v>
      </c>
      <c r="D142" s="8" t="s">
        <v>3</v>
      </c>
      <c r="E142" s="8" t="s">
        <v>37</v>
      </c>
      <c r="F142" s="11"/>
      <c r="G142" s="8" t="str">
        <f aca="true">IF(B142&lt;TODAY(),"Passé",IF(B142=TODAY(),"Aujourd'hui","À venir"))</f>
        <v>À venir</v>
      </c>
    </row>
    <row r="143" customFormat="false" ht="15" hidden="false" customHeight="false" outlineLevel="0" collapsed="false">
      <c r="A143" s="8" t="n">
        <v>142</v>
      </c>
      <c r="B143" s="9" t="n">
        <v>46429</v>
      </c>
      <c r="C143" s="8" t="str">
        <f aca="false">CHOOSE(WEEKDAY(B143,2),"Lundi","Mardi","Mercredi","Jeudi","Vendredi","Samedi","Dimanche")</f>
        <v>Jeudi</v>
      </c>
      <c r="D143" s="8" t="s">
        <v>3</v>
      </c>
      <c r="E143" s="8" t="s">
        <v>39</v>
      </c>
      <c r="F143" s="11"/>
      <c r="G143" s="8" t="str">
        <f aca="true">IF(B143&lt;TODAY(),"Passé",IF(B143=TODAY(),"Aujourd'hui","À venir"))</f>
        <v>À venir</v>
      </c>
    </row>
    <row r="144" customFormat="false" ht="15" hidden="false" customHeight="false" outlineLevel="0" collapsed="false">
      <c r="A144" s="8" t="n">
        <v>143</v>
      </c>
      <c r="B144" s="9" t="n">
        <v>46430</v>
      </c>
      <c r="C144" s="8" t="str">
        <f aca="false">CHOOSE(WEEKDAY(B144,2),"Lundi","Mardi","Mercredi","Jeudi","Vendredi","Samedi","Dimanche")</f>
        <v>Vendredi</v>
      </c>
      <c r="D144" s="8" t="s">
        <v>3</v>
      </c>
      <c r="E144" s="8" t="s">
        <v>40</v>
      </c>
      <c r="F144" s="11"/>
      <c r="G144" s="8" t="str">
        <f aca="true">IF(B144&lt;TODAY(),"Passé",IF(B144=TODAY(),"Aujourd'hui","À venir"))</f>
        <v>À venir</v>
      </c>
    </row>
    <row r="145" customFormat="false" ht="15" hidden="false" customHeight="false" outlineLevel="0" collapsed="false">
      <c r="A145" s="8" t="n">
        <v>144</v>
      </c>
      <c r="B145" s="9" t="n">
        <v>46431</v>
      </c>
      <c r="C145" s="8" t="str">
        <f aca="false">CHOOSE(WEEKDAY(B145,2),"Lundi","Mardi","Mercredi","Jeudi","Vendredi","Samedi","Dimanche")</f>
        <v>Samedi</v>
      </c>
      <c r="D145" s="8" t="s">
        <v>3</v>
      </c>
      <c r="E145" s="8" t="s">
        <v>41</v>
      </c>
      <c r="F145" s="11"/>
      <c r="G145" s="8" t="str">
        <f aca="true">IF(B145&lt;TODAY(),"Passé",IF(B145=TODAY(),"Aujourd'hui","À venir"))</f>
        <v>À venir</v>
      </c>
    </row>
    <row r="146" customFormat="false" ht="15" hidden="false" customHeight="false" outlineLevel="0" collapsed="false">
      <c r="A146" s="8" t="n">
        <v>145</v>
      </c>
      <c r="B146" s="9" t="n">
        <v>46432</v>
      </c>
      <c r="C146" s="8" t="str">
        <f aca="false">CHOOSE(WEEKDAY(B146,2),"Lundi","Mardi","Mercredi","Jeudi","Vendredi","Samedi","Dimanche")</f>
        <v>Dimanche</v>
      </c>
      <c r="D146" s="8" t="s">
        <v>3</v>
      </c>
      <c r="E146" s="8" t="s">
        <v>33</v>
      </c>
      <c r="F146" s="11"/>
      <c r="G146" s="8" t="str">
        <f aca="true">IF(B146&lt;TODAY(),"Passé",IF(B146=TODAY(),"Aujourd'hui","À venir"))</f>
        <v>À venir</v>
      </c>
    </row>
    <row r="147" customFormat="false" ht="15" hidden="false" customHeight="false" outlineLevel="0" collapsed="false">
      <c r="A147" s="8" t="n">
        <v>146</v>
      </c>
      <c r="B147" s="9" t="n">
        <v>46433</v>
      </c>
      <c r="C147" s="8" t="str">
        <f aca="false">CHOOSE(WEEKDAY(B147,2),"Lundi","Mardi","Mercredi","Jeudi","Vendredi","Samedi","Dimanche")</f>
        <v>Lundi</v>
      </c>
      <c r="D147" s="8" t="s">
        <v>3</v>
      </c>
      <c r="E147" s="8" t="s">
        <v>35</v>
      </c>
      <c r="F147" s="11"/>
      <c r="G147" s="8" t="str">
        <f aca="true">IF(B147&lt;TODAY(),"Passé",IF(B147=TODAY(),"Aujourd'hui","À venir"))</f>
        <v>À venir</v>
      </c>
    </row>
    <row r="148" customFormat="false" ht="15" hidden="false" customHeight="false" outlineLevel="0" collapsed="false">
      <c r="A148" s="8" t="n">
        <v>147</v>
      </c>
      <c r="B148" s="9" t="n">
        <v>46434</v>
      </c>
      <c r="C148" s="8" t="str">
        <f aca="false">CHOOSE(WEEKDAY(B148,2),"Lundi","Mardi","Mercredi","Jeudi","Vendredi","Samedi","Dimanche")</f>
        <v>Mardi</v>
      </c>
      <c r="D148" s="8" t="s">
        <v>3</v>
      </c>
      <c r="E148" s="8" t="s">
        <v>37</v>
      </c>
      <c r="F148" s="11"/>
      <c r="G148" s="8" t="str">
        <f aca="true">IF(B148&lt;TODAY(),"Passé",IF(B148=TODAY(),"Aujourd'hui","À venir"))</f>
        <v>À venir</v>
      </c>
    </row>
    <row r="149" customFormat="false" ht="15" hidden="false" customHeight="false" outlineLevel="0" collapsed="false">
      <c r="A149" s="8" t="n">
        <v>148</v>
      </c>
      <c r="B149" s="9" t="n">
        <v>46435</v>
      </c>
      <c r="C149" s="8" t="str">
        <f aca="false">CHOOSE(WEEKDAY(B149,2),"Lundi","Mardi","Mercredi","Jeudi","Vendredi","Samedi","Dimanche")</f>
        <v>Mercredi</v>
      </c>
      <c r="D149" s="8" t="s">
        <v>3</v>
      </c>
      <c r="E149" s="8" t="s">
        <v>39</v>
      </c>
      <c r="F149" s="11"/>
      <c r="G149" s="8" t="str">
        <f aca="true">IF(B149&lt;TODAY(),"Passé",IF(B149=TODAY(),"Aujourd'hui","À venir"))</f>
        <v>À venir</v>
      </c>
    </row>
    <row r="150" customFormat="false" ht="15" hidden="false" customHeight="false" outlineLevel="0" collapsed="false">
      <c r="A150" s="8" t="n">
        <v>149</v>
      </c>
      <c r="B150" s="9" t="n">
        <v>46436</v>
      </c>
      <c r="C150" s="8" t="str">
        <f aca="false">CHOOSE(WEEKDAY(B150,2),"Lundi","Mardi","Mercredi","Jeudi","Vendredi","Samedi","Dimanche")</f>
        <v>Jeudi</v>
      </c>
      <c r="D150" s="8" t="s">
        <v>3</v>
      </c>
      <c r="E150" s="8" t="s">
        <v>40</v>
      </c>
      <c r="F150" s="11"/>
      <c r="G150" s="8" t="str">
        <f aca="true">IF(B150&lt;TODAY(),"Passé",IF(B150=TODAY(),"Aujourd'hui","À venir"))</f>
        <v>À venir</v>
      </c>
    </row>
    <row r="151" customFormat="false" ht="15" hidden="false" customHeight="false" outlineLevel="0" collapsed="false">
      <c r="A151" s="8" t="n">
        <v>150</v>
      </c>
      <c r="B151" s="9" t="n">
        <v>46437</v>
      </c>
      <c r="C151" s="8" t="str">
        <f aca="false">CHOOSE(WEEKDAY(B151,2),"Lundi","Mardi","Mercredi","Jeudi","Vendredi","Samedi","Dimanche")</f>
        <v>Vendredi</v>
      </c>
      <c r="D151" s="8" t="s">
        <v>3</v>
      </c>
      <c r="E151" s="8" t="s">
        <v>41</v>
      </c>
      <c r="F151" s="11"/>
      <c r="G151" s="8" t="str">
        <f aca="true">IF(B151&lt;TODAY(),"Passé",IF(B151=TODAY(),"Aujourd'hui","À venir"))</f>
        <v>À venir</v>
      </c>
    </row>
    <row r="152" customFormat="false" ht="15" hidden="false" customHeight="false" outlineLevel="0" collapsed="false">
      <c r="A152" s="8" t="n">
        <v>151</v>
      </c>
      <c r="B152" s="9" t="n">
        <v>46438</v>
      </c>
      <c r="C152" s="8" t="str">
        <f aca="false">CHOOSE(WEEKDAY(B152,2),"Lundi","Mardi","Mercredi","Jeudi","Vendredi","Samedi","Dimanche")</f>
        <v>Samedi</v>
      </c>
      <c r="D152" s="8" t="s">
        <v>3</v>
      </c>
      <c r="E152" s="8" t="s">
        <v>33</v>
      </c>
      <c r="F152" s="11"/>
      <c r="G152" s="8" t="str">
        <f aca="true">IF(B152&lt;TODAY(),"Passé",IF(B152=TODAY(),"Aujourd'hui","À venir"))</f>
        <v>À venir</v>
      </c>
    </row>
    <row r="153" customFormat="false" ht="15" hidden="false" customHeight="false" outlineLevel="0" collapsed="false">
      <c r="A153" s="8" t="n">
        <v>152</v>
      </c>
      <c r="B153" s="9" t="n">
        <v>46439</v>
      </c>
      <c r="C153" s="8" t="str">
        <f aca="false">CHOOSE(WEEKDAY(B153,2),"Lundi","Mardi","Mercredi","Jeudi","Vendredi","Samedi","Dimanche")</f>
        <v>Dimanche</v>
      </c>
      <c r="D153" s="8" t="s">
        <v>3</v>
      </c>
      <c r="E153" s="8" t="s">
        <v>35</v>
      </c>
      <c r="F153" s="11"/>
      <c r="G153" s="8" t="str">
        <f aca="true">IF(B153&lt;TODAY(),"Passé",IF(B153=TODAY(),"Aujourd'hui","À venir"))</f>
        <v>À venir</v>
      </c>
    </row>
    <row r="154" customFormat="false" ht="15" hidden="false" customHeight="false" outlineLevel="0" collapsed="false">
      <c r="A154" s="8" t="n">
        <v>153</v>
      </c>
      <c r="B154" s="9" t="n">
        <v>46440</v>
      </c>
      <c r="C154" s="8" t="str">
        <f aca="false">CHOOSE(WEEKDAY(B154,2),"Lundi","Mardi","Mercredi","Jeudi","Vendredi","Samedi","Dimanche")</f>
        <v>Lundi</v>
      </c>
      <c r="D154" s="8" t="s">
        <v>3</v>
      </c>
      <c r="E154" s="8" t="s">
        <v>37</v>
      </c>
      <c r="F154" s="11"/>
      <c r="G154" s="8" t="str">
        <f aca="true">IF(B154&lt;TODAY(),"Passé",IF(B154=TODAY(),"Aujourd'hui","À venir"))</f>
        <v>À venir</v>
      </c>
    </row>
    <row r="155" customFormat="false" ht="15" hidden="false" customHeight="false" outlineLevel="0" collapsed="false">
      <c r="A155" s="8" t="n">
        <v>154</v>
      </c>
      <c r="B155" s="9" t="n">
        <v>46441</v>
      </c>
      <c r="C155" s="8" t="str">
        <f aca="false">CHOOSE(WEEKDAY(B155,2),"Lundi","Mardi","Mercredi","Jeudi","Vendredi","Samedi","Dimanche")</f>
        <v>Mardi</v>
      </c>
      <c r="D155" s="8" t="s">
        <v>3</v>
      </c>
      <c r="E155" s="8" t="s">
        <v>39</v>
      </c>
      <c r="F155" s="11"/>
      <c r="G155" s="8" t="str">
        <f aca="true">IF(B155&lt;TODAY(),"Passé",IF(B155=TODAY(),"Aujourd'hui","À venir"))</f>
        <v>À venir</v>
      </c>
    </row>
    <row r="156" customFormat="false" ht="15" hidden="false" customHeight="false" outlineLevel="0" collapsed="false">
      <c r="A156" s="8" t="n">
        <v>155</v>
      </c>
      <c r="B156" s="9" t="n">
        <v>46442</v>
      </c>
      <c r="C156" s="8" t="str">
        <f aca="false">CHOOSE(WEEKDAY(B156,2),"Lundi","Mardi","Mercredi","Jeudi","Vendredi","Samedi","Dimanche")</f>
        <v>Mercredi</v>
      </c>
      <c r="D156" s="8" t="s">
        <v>3</v>
      </c>
      <c r="E156" s="8" t="s">
        <v>40</v>
      </c>
      <c r="F156" s="11"/>
      <c r="G156" s="8" t="str">
        <f aca="true">IF(B156&lt;TODAY(),"Passé",IF(B156=TODAY(),"Aujourd'hui","À venir"))</f>
        <v>À venir</v>
      </c>
    </row>
    <row r="157" customFormat="false" ht="15" hidden="false" customHeight="false" outlineLevel="0" collapsed="false">
      <c r="A157" s="8" t="n">
        <v>156</v>
      </c>
      <c r="B157" s="9" t="n">
        <v>46443</v>
      </c>
      <c r="C157" s="8" t="str">
        <f aca="false">CHOOSE(WEEKDAY(B157,2),"Lundi","Mardi","Mercredi","Jeudi","Vendredi","Samedi","Dimanche")</f>
        <v>Jeudi</v>
      </c>
      <c r="D157" s="8" t="s">
        <v>3</v>
      </c>
      <c r="E157" s="8" t="s">
        <v>41</v>
      </c>
      <c r="F157" s="11"/>
      <c r="G157" s="8" t="str">
        <f aca="true">IF(B157&lt;TODAY(),"Passé",IF(B157=TODAY(),"Aujourd'hui","À venir"))</f>
        <v>À venir</v>
      </c>
    </row>
    <row r="158" customFormat="false" ht="15" hidden="false" customHeight="false" outlineLevel="0" collapsed="false">
      <c r="A158" s="8" t="n">
        <v>157</v>
      </c>
      <c r="B158" s="9" t="n">
        <v>46444</v>
      </c>
      <c r="C158" s="8" t="str">
        <f aca="false">CHOOSE(WEEKDAY(B158,2),"Lundi","Mardi","Mercredi","Jeudi","Vendredi","Samedi","Dimanche")</f>
        <v>Vendredi</v>
      </c>
      <c r="D158" s="8" t="s">
        <v>3</v>
      </c>
      <c r="E158" s="8" t="s">
        <v>33</v>
      </c>
      <c r="F158" s="11"/>
      <c r="G158" s="8" t="str">
        <f aca="true">IF(B158&lt;TODAY(),"Passé",IF(B158=TODAY(),"Aujourd'hui","À venir"))</f>
        <v>À venir</v>
      </c>
    </row>
    <row r="159" customFormat="false" ht="15" hidden="false" customHeight="false" outlineLevel="0" collapsed="false">
      <c r="A159" s="8" t="n">
        <v>158</v>
      </c>
      <c r="B159" s="9" t="n">
        <v>46445</v>
      </c>
      <c r="C159" s="8" t="str">
        <f aca="false">CHOOSE(WEEKDAY(B159,2),"Lundi","Mardi","Mercredi","Jeudi","Vendredi","Samedi","Dimanche")</f>
        <v>Samedi</v>
      </c>
      <c r="D159" s="8" t="s">
        <v>3</v>
      </c>
      <c r="E159" s="8" t="s">
        <v>35</v>
      </c>
      <c r="F159" s="11"/>
      <c r="G159" s="8" t="str">
        <f aca="true">IF(B159&lt;TODAY(),"Passé",IF(B159=TODAY(),"Aujourd'hui","À venir"))</f>
        <v>À venir</v>
      </c>
    </row>
    <row r="160" customFormat="false" ht="15" hidden="false" customHeight="false" outlineLevel="0" collapsed="false">
      <c r="A160" s="8" t="n">
        <v>159</v>
      </c>
      <c r="B160" s="9" t="n">
        <v>46446</v>
      </c>
      <c r="C160" s="8" t="str">
        <f aca="false">CHOOSE(WEEKDAY(B160,2),"Lundi","Mardi","Mercredi","Jeudi","Vendredi","Samedi","Dimanche")</f>
        <v>Dimanche</v>
      </c>
      <c r="D160" s="8" t="s">
        <v>3</v>
      </c>
      <c r="E160" s="8" t="s">
        <v>37</v>
      </c>
      <c r="F160" s="11"/>
      <c r="G160" s="8" t="str">
        <f aca="true">IF(B160&lt;TODAY(),"Passé",IF(B160=TODAY(),"Aujourd'hui","À venir"))</f>
        <v>À venir</v>
      </c>
    </row>
    <row r="161" customFormat="false" ht="15" hidden="false" customHeight="false" outlineLevel="0" collapsed="false">
      <c r="A161" s="8" t="n">
        <v>160</v>
      </c>
      <c r="B161" s="9" t="n">
        <v>46447</v>
      </c>
      <c r="C161" s="8" t="str">
        <f aca="false">CHOOSE(WEEKDAY(B161,2),"Lundi","Mardi","Mercredi","Jeudi","Vendredi","Samedi","Dimanche")</f>
        <v>Lundi</v>
      </c>
      <c r="D161" s="8" t="s">
        <v>3</v>
      </c>
      <c r="E161" s="8" t="s">
        <v>39</v>
      </c>
      <c r="F161" s="11"/>
      <c r="G161" s="8" t="str">
        <f aca="true">IF(B161&lt;TODAY(),"Passé",IF(B161=TODAY(),"Aujourd'hui","À venir"))</f>
        <v>À venir</v>
      </c>
    </row>
    <row r="162" customFormat="false" ht="15" hidden="false" customHeight="false" outlineLevel="0" collapsed="false">
      <c r="A162" s="8" t="n">
        <v>161</v>
      </c>
      <c r="B162" s="9" t="n">
        <v>46448</v>
      </c>
      <c r="C162" s="8" t="str">
        <f aca="false">CHOOSE(WEEKDAY(B162,2),"Lundi","Mardi","Mercredi","Jeudi","Vendredi","Samedi","Dimanche")</f>
        <v>Mardi</v>
      </c>
      <c r="D162" s="8" t="s">
        <v>3</v>
      </c>
      <c r="E162" s="8" t="s">
        <v>40</v>
      </c>
      <c r="F162" s="11"/>
      <c r="G162" s="8" t="str">
        <f aca="true">IF(B162&lt;TODAY(),"Passé",IF(B162=TODAY(),"Aujourd'hui","À venir"))</f>
        <v>À venir</v>
      </c>
    </row>
    <row r="163" customFormat="false" ht="15" hidden="false" customHeight="false" outlineLevel="0" collapsed="false">
      <c r="A163" s="8" t="n">
        <v>162</v>
      </c>
      <c r="B163" s="9" t="n">
        <v>46449</v>
      </c>
      <c r="C163" s="8" t="str">
        <f aca="false">CHOOSE(WEEKDAY(B163,2),"Lundi","Mardi","Mercredi","Jeudi","Vendredi","Samedi","Dimanche")</f>
        <v>Mercredi</v>
      </c>
      <c r="D163" s="8" t="s">
        <v>3</v>
      </c>
      <c r="E163" s="8" t="s">
        <v>41</v>
      </c>
      <c r="F163" s="11"/>
      <c r="G163" s="8" t="str">
        <f aca="true">IF(B163&lt;TODAY(),"Passé",IF(B163=TODAY(),"Aujourd'hui","À venir"))</f>
        <v>À venir</v>
      </c>
    </row>
    <row r="164" customFormat="false" ht="15" hidden="false" customHeight="false" outlineLevel="0" collapsed="false">
      <c r="A164" s="8" t="n">
        <v>163</v>
      </c>
      <c r="B164" s="9" t="n">
        <v>46450</v>
      </c>
      <c r="C164" s="8" t="str">
        <f aca="false">CHOOSE(WEEKDAY(B164,2),"Lundi","Mardi","Mercredi","Jeudi","Vendredi","Samedi","Dimanche")</f>
        <v>Jeudi</v>
      </c>
      <c r="D164" s="8" t="s">
        <v>3</v>
      </c>
      <c r="E164" s="8" t="s">
        <v>33</v>
      </c>
      <c r="F164" s="11"/>
      <c r="G164" s="8" t="str">
        <f aca="true">IF(B164&lt;TODAY(),"Passé",IF(B164=TODAY(),"Aujourd'hui","À venir"))</f>
        <v>À venir</v>
      </c>
    </row>
    <row r="165" customFormat="false" ht="15" hidden="false" customHeight="false" outlineLevel="0" collapsed="false">
      <c r="A165" s="8" t="n">
        <v>164</v>
      </c>
      <c r="B165" s="9" t="n">
        <v>46451</v>
      </c>
      <c r="C165" s="8" t="str">
        <f aca="false">CHOOSE(WEEKDAY(B165,2),"Lundi","Mardi","Mercredi","Jeudi","Vendredi","Samedi","Dimanche")</f>
        <v>Vendredi</v>
      </c>
      <c r="D165" s="8" t="s">
        <v>3</v>
      </c>
      <c r="E165" s="8" t="s">
        <v>35</v>
      </c>
      <c r="F165" s="11"/>
      <c r="G165" s="8" t="str">
        <f aca="true">IF(B165&lt;TODAY(),"Passé",IF(B165=TODAY(),"Aujourd'hui","À venir"))</f>
        <v>À venir</v>
      </c>
    </row>
    <row r="166" customFormat="false" ht="15" hidden="false" customHeight="false" outlineLevel="0" collapsed="false">
      <c r="A166" s="8" t="n">
        <v>165</v>
      </c>
      <c r="B166" s="9" t="n">
        <v>46452</v>
      </c>
      <c r="C166" s="8" t="str">
        <f aca="false">CHOOSE(WEEKDAY(B166,2),"Lundi","Mardi","Mercredi","Jeudi","Vendredi","Samedi","Dimanche")</f>
        <v>Samedi</v>
      </c>
      <c r="D166" s="8" t="s">
        <v>3</v>
      </c>
      <c r="E166" s="8" t="s">
        <v>37</v>
      </c>
      <c r="F166" s="11"/>
      <c r="G166" s="8" t="str">
        <f aca="true">IF(B166&lt;TODAY(),"Passé",IF(B166=TODAY(),"Aujourd'hui","À venir"))</f>
        <v>À venir</v>
      </c>
    </row>
    <row r="167" customFormat="false" ht="15" hidden="false" customHeight="false" outlineLevel="0" collapsed="false">
      <c r="A167" s="8" t="n">
        <v>166</v>
      </c>
      <c r="B167" s="9" t="n">
        <v>46453</v>
      </c>
      <c r="C167" s="8" t="str">
        <f aca="false">CHOOSE(WEEKDAY(B167,2),"Lundi","Mardi","Mercredi","Jeudi","Vendredi","Samedi","Dimanche")</f>
        <v>Dimanche</v>
      </c>
      <c r="D167" s="8" t="s">
        <v>3</v>
      </c>
      <c r="E167" s="8" t="s">
        <v>39</v>
      </c>
      <c r="F167" s="11"/>
      <c r="G167" s="8" t="str">
        <f aca="true">IF(B167&lt;TODAY(),"Passé",IF(B167=TODAY(),"Aujourd'hui","À venir"))</f>
        <v>À venir</v>
      </c>
    </row>
    <row r="168" customFormat="false" ht="15" hidden="false" customHeight="false" outlineLevel="0" collapsed="false">
      <c r="A168" s="8" t="n">
        <v>167</v>
      </c>
      <c r="B168" s="9" t="n">
        <v>46454</v>
      </c>
      <c r="C168" s="8" t="str">
        <f aca="false">CHOOSE(WEEKDAY(B168,2),"Lundi","Mardi","Mercredi","Jeudi","Vendredi","Samedi","Dimanche")</f>
        <v>Lundi</v>
      </c>
      <c r="D168" s="8" t="s">
        <v>3</v>
      </c>
      <c r="E168" s="8" t="s">
        <v>40</v>
      </c>
      <c r="F168" s="11"/>
      <c r="G168" s="8" t="str">
        <f aca="true">IF(B168&lt;TODAY(),"Passé",IF(B168=TODAY(),"Aujourd'hui","À venir"))</f>
        <v>À venir</v>
      </c>
    </row>
    <row r="169" customFormat="false" ht="15" hidden="false" customHeight="false" outlineLevel="0" collapsed="false">
      <c r="A169" s="8" t="n">
        <v>168</v>
      </c>
      <c r="B169" s="9" t="n">
        <v>46455</v>
      </c>
      <c r="C169" s="8" t="str">
        <f aca="false">CHOOSE(WEEKDAY(B169,2),"Lundi","Mardi","Mercredi","Jeudi","Vendredi","Samedi","Dimanche")</f>
        <v>Mardi</v>
      </c>
      <c r="D169" s="8" t="s">
        <v>3</v>
      </c>
      <c r="E169" s="8" t="s">
        <v>41</v>
      </c>
      <c r="F169" s="11"/>
      <c r="G169" s="8" t="str">
        <f aca="true">IF(B169&lt;TODAY(),"Passé",IF(B169=TODAY(),"Aujourd'hui","À venir"))</f>
        <v>À venir</v>
      </c>
    </row>
    <row r="170" customFormat="false" ht="15" hidden="false" customHeight="false" outlineLevel="0" collapsed="false">
      <c r="A170" s="8" t="n">
        <v>169</v>
      </c>
      <c r="B170" s="9" t="n">
        <v>46456</v>
      </c>
      <c r="C170" s="8" t="str">
        <f aca="false">CHOOSE(WEEKDAY(B170,2),"Lundi","Mardi","Mercredi","Jeudi","Vendredi","Samedi","Dimanche")</f>
        <v>Mercredi</v>
      </c>
      <c r="D170" s="8" t="s">
        <v>3</v>
      </c>
      <c r="E170" s="8" t="s">
        <v>33</v>
      </c>
      <c r="F170" s="11"/>
      <c r="G170" s="8" t="str">
        <f aca="true">IF(B170&lt;TODAY(),"Passé",IF(B170=TODAY(),"Aujourd'hui","À venir"))</f>
        <v>À venir</v>
      </c>
    </row>
    <row r="171" customFormat="false" ht="15" hidden="false" customHeight="false" outlineLevel="0" collapsed="false">
      <c r="A171" s="8" t="n">
        <v>170</v>
      </c>
      <c r="B171" s="9" t="n">
        <v>46457</v>
      </c>
      <c r="C171" s="8" t="str">
        <f aca="false">CHOOSE(WEEKDAY(B171,2),"Lundi","Mardi","Mercredi","Jeudi","Vendredi","Samedi","Dimanche")</f>
        <v>Jeudi</v>
      </c>
      <c r="D171" s="8" t="s">
        <v>3</v>
      </c>
      <c r="E171" s="8" t="s">
        <v>35</v>
      </c>
      <c r="F171" s="11"/>
      <c r="G171" s="8" t="str">
        <f aca="true">IF(B171&lt;TODAY(),"Passé",IF(B171=TODAY(),"Aujourd'hui","À venir"))</f>
        <v>À venir</v>
      </c>
    </row>
    <row r="172" customFormat="false" ht="15" hidden="false" customHeight="false" outlineLevel="0" collapsed="false">
      <c r="A172" s="8" t="n">
        <v>171</v>
      </c>
      <c r="B172" s="9" t="n">
        <v>46458</v>
      </c>
      <c r="C172" s="8" t="str">
        <f aca="false">CHOOSE(WEEKDAY(B172,2),"Lundi","Mardi","Mercredi","Jeudi","Vendredi","Samedi","Dimanche")</f>
        <v>Vendredi</v>
      </c>
      <c r="D172" s="8" t="s">
        <v>3</v>
      </c>
      <c r="E172" s="8" t="s">
        <v>37</v>
      </c>
      <c r="F172" s="11"/>
      <c r="G172" s="8" t="str">
        <f aca="true">IF(B172&lt;TODAY(),"Passé",IF(B172=TODAY(),"Aujourd'hui","À venir"))</f>
        <v>À venir</v>
      </c>
    </row>
    <row r="173" customFormat="false" ht="15" hidden="false" customHeight="false" outlineLevel="0" collapsed="false">
      <c r="A173" s="8" t="n">
        <v>172</v>
      </c>
      <c r="B173" s="9" t="n">
        <v>46459</v>
      </c>
      <c r="C173" s="8" t="str">
        <f aca="false">CHOOSE(WEEKDAY(B173,2),"Lundi","Mardi","Mercredi","Jeudi","Vendredi","Samedi","Dimanche")</f>
        <v>Samedi</v>
      </c>
      <c r="D173" s="8" t="s">
        <v>3</v>
      </c>
      <c r="E173" s="8" t="s">
        <v>39</v>
      </c>
      <c r="F173" s="11"/>
      <c r="G173" s="8" t="str">
        <f aca="true">IF(B173&lt;TODAY(),"Passé",IF(B173=TODAY(),"Aujourd'hui","À venir"))</f>
        <v>À venir</v>
      </c>
    </row>
    <row r="174" customFormat="false" ht="15" hidden="false" customHeight="false" outlineLevel="0" collapsed="false">
      <c r="A174" s="8" t="n">
        <v>173</v>
      </c>
      <c r="B174" s="9" t="n">
        <v>46460</v>
      </c>
      <c r="C174" s="8" t="str">
        <f aca="false">CHOOSE(WEEKDAY(B174,2),"Lundi","Mardi","Mercredi","Jeudi","Vendredi","Samedi","Dimanche")</f>
        <v>Dimanche</v>
      </c>
      <c r="D174" s="8" t="s">
        <v>3</v>
      </c>
      <c r="E174" s="8" t="s">
        <v>40</v>
      </c>
      <c r="F174" s="11"/>
      <c r="G174" s="8" t="str">
        <f aca="true">IF(B174&lt;TODAY(),"Passé",IF(B174=TODAY(),"Aujourd'hui","À venir"))</f>
        <v>À venir</v>
      </c>
    </row>
    <row r="175" customFormat="false" ht="15" hidden="false" customHeight="false" outlineLevel="0" collapsed="false">
      <c r="A175" s="8" t="n">
        <v>174</v>
      </c>
      <c r="B175" s="9" t="n">
        <v>46461</v>
      </c>
      <c r="C175" s="8" t="str">
        <f aca="false">CHOOSE(WEEKDAY(B175,2),"Lundi","Mardi","Mercredi","Jeudi","Vendredi","Samedi","Dimanche")</f>
        <v>Lundi</v>
      </c>
      <c r="D175" s="8" t="s">
        <v>3</v>
      </c>
      <c r="E175" s="8" t="s">
        <v>41</v>
      </c>
      <c r="F175" s="11"/>
      <c r="G175" s="8" t="str">
        <f aca="true">IF(B175&lt;TODAY(),"Passé",IF(B175=TODAY(),"Aujourd'hui","À venir"))</f>
        <v>À venir</v>
      </c>
    </row>
    <row r="176" customFormat="false" ht="15" hidden="false" customHeight="false" outlineLevel="0" collapsed="false">
      <c r="A176" s="8" t="n">
        <v>175</v>
      </c>
      <c r="B176" s="9" t="n">
        <v>46462</v>
      </c>
      <c r="C176" s="8" t="str">
        <f aca="false">CHOOSE(WEEKDAY(B176,2),"Lundi","Mardi","Mercredi","Jeudi","Vendredi","Samedi","Dimanche")</f>
        <v>Mardi</v>
      </c>
      <c r="D176" s="8" t="s">
        <v>3</v>
      </c>
      <c r="E176" s="8" t="s">
        <v>33</v>
      </c>
      <c r="F176" s="11"/>
      <c r="G176" s="8" t="str">
        <f aca="true">IF(B176&lt;TODAY(),"Passé",IF(B176=TODAY(),"Aujourd'hui","À venir"))</f>
        <v>À venir</v>
      </c>
    </row>
    <row r="177" customFormat="false" ht="15" hidden="false" customHeight="false" outlineLevel="0" collapsed="false">
      <c r="A177" s="8" t="n">
        <v>176</v>
      </c>
      <c r="B177" s="9" t="n">
        <v>46463</v>
      </c>
      <c r="C177" s="8" t="str">
        <f aca="false">CHOOSE(WEEKDAY(B177,2),"Lundi","Mardi","Mercredi","Jeudi","Vendredi","Samedi","Dimanche")</f>
        <v>Mercredi</v>
      </c>
      <c r="D177" s="8" t="s">
        <v>3</v>
      </c>
      <c r="E177" s="8" t="s">
        <v>35</v>
      </c>
      <c r="F177" s="11"/>
      <c r="G177" s="8" t="str">
        <f aca="true">IF(B177&lt;TODAY(),"Passé",IF(B177=TODAY(),"Aujourd'hui","À venir"))</f>
        <v>À venir</v>
      </c>
    </row>
    <row r="178" customFormat="false" ht="15" hidden="false" customHeight="false" outlineLevel="0" collapsed="false">
      <c r="A178" s="8" t="n">
        <v>177</v>
      </c>
      <c r="B178" s="9" t="n">
        <v>46464</v>
      </c>
      <c r="C178" s="8" t="str">
        <f aca="false">CHOOSE(WEEKDAY(B178,2),"Lundi","Mardi","Mercredi","Jeudi","Vendredi","Samedi","Dimanche")</f>
        <v>Jeudi</v>
      </c>
      <c r="D178" s="8" t="s">
        <v>3</v>
      </c>
      <c r="E178" s="8" t="s">
        <v>37</v>
      </c>
      <c r="F178" s="11"/>
      <c r="G178" s="8" t="str">
        <f aca="true">IF(B178&lt;TODAY(),"Passé",IF(B178=TODAY(),"Aujourd'hui","À venir"))</f>
        <v>À venir</v>
      </c>
    </row>
    <row r="179" customFormat="false" ht="15" hidden="false" customHeight="false" outlineLevel="0" collapsed="false">
      <c r="A179" s="8" t="n">
        <v>178</v>
      </c>
      <c r="B179" s="9" t="n">
        <v>46465</v>
      </c>
      <c r="C179" s="8" t="str">
        <f aca="false">CHOOSE(WEEKDAY(B179,2),"Lundi","Mardi","Mercredi","Jeudi","Vendredi","Samedi","Dimanche")</f>
        <v>Vendredi</v>
      </c>
      <c r="D179" s="8" t="s">
        <v>3</v>
      </c>
      <c r="E179" s="8" t="s">
        <v>39</v>
      </c>
      <c r="F179" s="11"/>
      <c r="G179" s="8" t="str">
        <f aca="true">IF(B179&lt;TODAY(),"Passé",IF(B179=TODAY(),"Aujourd'hui","À venir"))</f>
        <v>À venir</v>
      </c>
    </row>
    <row r="180" customFormat="false" ht="15" hidden="false" customHeight="false" outlineLevel="0" collapsed="false">
      <c r="A180" s="8" t="n">
        <v>179</v>
      </c>
      <c r="B180" s="9" t="n">
        <v>46466</v>
      </c>
      <c r="C180" s="8" t="str">
        <f aca="false">CHOOSE(WEEKDAY(B180,2),"Lundi","Mardi","Mercredi","Jeudi","Vendredi","Samedi","Dimanche")</f>
        <v>Samedi</v>
      </c>
      <c r="D180" s="8" t="s">
        <v>3</v>
      </c>
      <c r="E180" s="8" t="s">
        <v>40</v>
      </c>
      <c r="F180" s="11"/>
      <c r="G180" s="8" t="str">
        <f aca="true">IF(B180&lt;TODAY(),"Passé",IF(B180=TODAY(),"Aujourd'hui","À venir"))</f>
        <v>À venir</v>
      </c>
    </row>
    <row r="181" customFormat="false" ht="15" hidden="false" customHeight="false" outlineLevel="0" collapsed="false">
      <c r="A181" s="8" t="n">
        <v>180</v>
      </c>
      <c r="B181" s="9" t="n">
        <v>46467</v>
      </c>
      <c r="C181" s="8" t="str">
        <f aca="false">CHOOSE(WEEKDAY(B181,2),"Lundi","Mardi","Mercredi","Jeudi","Vendredi","Samedi","Dimanche")</f>
        <v>Dimanche</v>
      </c>
      <c r="D181" s="8" t="s">
        <v>3</v>
      </c>
      <c r="E181" s="8" t="s">
        <v>41</v>
      </c>
      <c r="F181" s="11"/>
      <c r="G181" s="8" t="str">
        <f aca="true">IF(B181&lt;TODAY(),"Passé",IF(B181=TODAY(),"Aujourd'hui","À venir"))</f>
        <v>À venir</v>
      </c>
    </row>
    <row r="182" customFormat="false" ht="15" hidden="false" customHeight="false" outlineLevel="0" collapsed="false">
      <c r="A182" s="8" t="n">
        <v>181</v>
      </c>
      <c r="B182" s="9" t="n">
        <v>46468</v>
      </c>
      <c r="C182" s="8" t="str">
        <f aca="false">CHOOSE(WEEKDAY(B182,2),"Lundi","Mardi","Mercredi","Jeudi","Vendredi","Samedi","Dimanche")</f>
        <v>Lundi</v>
      </c>
      <c r="D182" s="8" t="s">
        <v>3</v>
      </c>
      <c r="E182" s="8" t="s">
        <v>33</v>
      </c>
      <c r="F182" s="11"/>
      <c r="G182" s="8" t="str">
        <f aca="true">IF(B182&lt;TODAY(),"Passé",IF(B182=TODAY(),"Aujourd'hui","À venir"))</f>
        <v>À venir</v>
      </c>
    </row>
    <row r="183" customFormat="false" ht="15" hidden="false" customHeight="false" outlineLevel="0" collapsed="false">
      <c r="A183" s="8" t="n">
        <v>182</v>
      </c>
      <c r="B183" s="9" t="n">
        <v>46469</v>
      </c>
      <c r="C183" s="8" t="str">
        <f aca="false">CHOOSE(WEEKDAY(B183,2),"Lundi","Mardi","Mercredi","Jeudi","Vendredi","Samedi","Dimanche")</f>
        <v>Mardi</v>
      </c>
      <c r="D183" s="8" t="s">
        <v>3</v>
      </c>
      <c r="E183" s="8" t="s">
        <v>35</v>
      </c>
      <c r="F183" s="11"/>
      <c r="G183" s="8" t="str">
        <f aca="true">IF(B183&lt;TODAY(),"Passé",IF(B183=TODAY(),"Aujourd'hui","À venir"))</f>
        <v>À venir</v>
      </c>
    </row>
    <row r="184" customFormat="false" ht="15" hidden="false" customHeight="false" outlineLevel="0" collapsed="false">
      <c r="A184" s="8" t="n">
        <v>183</v>
      </c>
      <c r="B184" s="9" t="n">
        <v>46470</v>
      </c>
      <c r="C184" s="8" t="str">
        <f aca="false">CHOOSE(WEEKDAY(B184,2),"Lundi","Mardi","Mercredi","Jeudi","Vendredi","Samedi","Dimanche")</f>
        <v>Mercredi</v>
      </c>
      <c r="D184" s="8" t="s">
        <v>3</v>
      </c>
      <c r="E184" s="8" t="s">
        <v>37</v>
      </c>
      <c r="F184" s="11"/>
      <c r="G184" s="8" t="str">
        <f aca="true">IF(B184&lt;TODAY(),"Passé",IF(B184=TODAY(),"Aujourd'hui","À venir"))</f>
        <v>À venir</v>
      </c>
    </row>
    <row r="185" customFormat="false" ht="15" hidden="false" customHeight="false" outlineLevel="0" collapsed="false">
      <c r="A185" s="8" t="n">
        <v>184</v>
      </c>
      <c r="B185" s="9" t="n">
        <v>46471</v>
      </c>
      <c r="C185" s="8" t="str">
        <f aca="false">CHOOSE(WEEKDAY(B185,2),"Lundi","Mardi","Mercredi","Jeudi","Vendredi","Samedi","Dimanche")</f>
        <v>Jeudi</v>
      </c>
      <c r="D185" s="8" t="s">
        <v>3</v>
      </c>
      <c r="E185" s="8" t="s">
        <v>39</v>
      </c>
      <c r="F185" s="11"/>
      <c r="G185" s="8" t="str">
        <f aca="true">IF(B185&lt;TODAY(),"Passé",IF(B185=TODAY(),"Aujourd'hui","À venir"))</f>
        <v>À venir</v>
      </c>
    </row>
    <row r="186" customFormat="false" ht="15" hidden="false" customHeight="false" outlineLevel="0" collapsed="false">
      <c r="A186" s="8" t="n">
        <v>185</v>
      </c>
      <c r="B186" s="9" t="n">
        <v>46472</v>
      </c>
      <c r="C186" s="8" t="str">
        <f aca="false">CHOOSE(WEEKDAY(B186,2),"Lundi","Mardi","Mercredi","Jeudi","Vendredi","Samedi","Dimanche")</f>
        <v>Vendredi</v>
      </c>
      <c r="D186" s="8" t="s">
        <v>3</v>
      </c>
      <c r="E186" s="8" t="s">
        <v>40</v>
      </c>
      <c r="F186" s="11"/>
      <c r="G186" s="8" t="str">
        <f aca="true">IF(B186&lt;TODAY(),"Passé",IF(B186=TODAY(),"Aujourd'hui","À venir"))</f>
        <v>À venir</v>
      </c>
    </row>
    <row r="187" customFormat="false" ht="15" hidden="false" customHeight="false" outlineLevel="0" collapsed="false">
      <c r="A187" s="8" t="n">
        <v>186</v>
      </c>
      <c r="B187" s="9" t="n">
        <v>46473</v>
      </c>
      <c r="C187" s="8" t="str">
        <f aca="false">CHOOSE(WEEKDAY(B187,2),"Lundi","Mardi","Mercredi","Jeudi","Vendredi","Samedi","Dimanche")</f>
        <v>Samedi</v>
      </c>
      <c r="D187" s="8" t="s">
        <v>3</v>
      </c>
      <c r="E187" s="8" t="s">
        <v>41</v>
      </c>
      <c r="F187" s="11"/>
      <c r="G187" s="8" t="str">
        <f aca="true">IF(B187&lt;TODAY(),"Passé",IF(B187=TODAY(),"Aujourd'hui","À venir"))</f>
        <v>À venir</v>
      </c>
    </row>
    <row r="188" customFormat="false" ht="15" hidden="false" customHeight="false" outlineLevel="0" collapsed="false">
      <c r="A188" s="8" t="n">
        <v>187</v>
      </c>
      <c r="B188" s="9" t="n">
        <v>46474</v>
      </c>
      <c r="C188" s="8" t="str">
        <f aca="false">CHOOSE(WEEKDAY(B188,2),"Lundi","Mardi","Mercredi","Jeudi","Vendredi","Samedi","Dimanche")</f>
        <v>Dimanche</v>
      </c>
      <c r="D188" s="8" t="s">
        <v>3</v>
      </c>
      <c r="E188" s="8" t="s">
        <v>33</v>
      </c>
      <c r="F188" s="11"/>
      <c r="G188" s="8" t="str">
        <f aca="true">IF(B188&lt;TODAY(),"Passé",IF(B188=TODAY(),"Aujourd'hui","À venir"))</f>
        <v>À venir</v>
      </c>
    </row>
    <row r="189" customFormat="false" ht="15" hidden="false" customHeight="false" outlineLevel="0" collapsed="false">
      <c r="A189" s="8" t="n">
        <v>188</v>
      </c>
      <c r="B189" s="9" t="n">
        <v>46475</v>
      </c>
      <c r="C189" s="8" t="str">
        <f aca="false">CHOOSE(WEEKDAY(B189,2),"Lundi","Mardi","Mercredi","Jeudi","Vendredi","Samedi","Dimanche")</f>
        <v>Lundi</v>
      </c>
      <c r="D189" s="8" t="s">
        <v>3</v>
      </c>
      <c r="E189" s="8" t="s">
        <v>35</v>
      </c>
      <c r="F189" s="11"/>
      <c r="G189" s="8" t="str">
        <f aca="true">IF(B189&lt;TODAY(),"Passé",IF(B189=TODAY(),"Aujourd'hui","À venir"))</f>
        <v>À venir</v>
      </c>
    </row>
    <row r="190" customFormat="false" ht="15" hidden="false" customHeight="false" outlineLevel="0" collapsed="false">
      <c r="A190" s="8" t="n">
        <v>189</v>
      </c>
      <c r="B190" s="9" t="n">
        <v>46476</v>
      </c>
      <c r="C190" s="8" t="str">
        <f aca="false">CHOOSE(WEEKDAY(B190,2),"Lundi","Mardi","Mercredi","Jeudi","Vendredi","Samedi","Dimanche")</f>
        <v>Mardi</v>
      </c>
      <c r="D190" s="8" t="s">
        <v>3</v>
      </c>
      <c r="E190" s="8" t="s">
        <v>37</v>
      </c>
      <c r="F190" s="11"/>
      <c r="G190" s="8" t="str">
        <f aca="true">IF(B190&lt;TODAY(),"Passé",IF(B190=TODAY(),"Aujourd'hui","À venir"))</f>
        <v>À venir</v>
      </c>
    </row>
    <row r="191" customFormat="false" ht="15" hidden="false" customHeight="false" outlineLevel="0" collapsed="false">
      <c r="A191" s="8" t="n">
        <v>190</v>
      </c>
      <c r="B191" s="9" t="n">
        <v>46477</v>
      </c>
      <c r="C191" s="8" t="str">
        <f aca="false">CHOOSE(WEEKDAY(B191,2),"Lundi","Mardi","Mercredi","Jeudi","Vendredi","Samedi","Dimanche")</f>
        <v>Mercredi</v>
      </c>
      <c r="D191" s="8" t="s">
        <v>3</v>
      </c>
      <c r="E191" s="8" t="s">
        <v>39</v>
      </c>
      <c r="F191" s="11"/>
      <c r="G191" s="8" t="str">
        <f aca="true">IF(B191&lt;TODAY(),"Passé",IF(B191=TODAY(),"Aujourd'hui","À venir"))</f>
        <v>À venir</v>
      </c>
    </row>
    <row r="192" customFormat="false" ht="15" hidden="false" customHeight="false" outlineLevel="0" collapsed="false">
      <c r="A192" s="8" t="n">
        <v>191</v>
      </c>
      <c r="B192" s="9" t="n">
        <v>46478</v>
      </c>
      <c r="C192" s="8" t="str">
        <f aca="false">CHOOSE(WEEKDAY(B192,2),"Lundi","Mardi","Mercredi","Jeudi","Vendredi","Samedi","Dimanche")</f>
        <v>Jeudi</v>
      </c>
      <c r="D192" s="8" t="s">
        <v>3</v>
      </c>
      <c r="E192" s="8" t="s">
        <v>40</v>
      </c>
      <c r="F192" s="11"/>
      <c r="G192" s="8" t="str">
        <f aca="true">IF(B192&lt;TODAY(),"Passé",IF(B192=TODAY(),"Aujourd'hui","À venir"))</f>
        <v>À venir</v>
      </c>
    </row>
    <row r="193" customFormat="false" ht="15" hidden="false" customHeight="false" outlineLevel="0" collapsed="false">
      <c r="A193" s="8" t="n">
        <v>192</v>
      </c>
      <c r="B193" s="9" t="n">
        <v>46479</v>
      </c>
      <c r="C193" s="8" t="str">
        <f aca="false">CHOOSE(WEEKDAY(B193,2),"Lundi","Mardi","Mercredi","Jeudi","Vendredi","Samedi","Dimanche")</f>
        <v>Vendredi</v>
      </c>
      <c r="D193" s="8" t="s">
        <v>3</v>
      </c>
      <c r="E193" s="8" t="s">
        <v>41</v>
      </c>
      <c r="F193" s="11"/>
      <c r="G193" s="8" t="str">
        <f aca="true">IF(B193&lt;TODAY(),"Passé",IF(B193=TODAY(),"Aujourd'hui","À venir"))</f>
        <v>À venir</v>
      </c>
    </row>
    <row r="194" customFormat="false" ht="15" hidden="false" customHeight="false" outlineLevel="0" collapsed="false">
      <c r="A194" s="8" t="n">
        <v>193</v>
      </c>
      <c r="B194" s="9" t="n">
        <v>46480</v>
      </c>
      <c r="C194" s="8" t="str">
        <f aca="false">CHOOSE(WEEKDAY(B194,2),"Lundi","Mardi","Mercredi","Jeudi","Vendredi","Samedi","Dimanche")</f>
        <v>Samedi</v>
      </c>
      <c r="D194" s="8" t="s">
        <v>3</v>
      </c>
      <c r="E194" s="8" t="s">
        <v>33</v>
      </c>
      <c r="F194" s="11"/>
      <c r="G194" s="8" t="str">
        <f aca="true">IF(B194&lt;TODAY(),"Passé",IF(B194=TODAY(),"Aujourd'hui","À venir"))</f>
        <v>À venir</v>
      </c>
    </row>
    <row r="195" customFormat="false" ht="15" hidden="false" customHeight="false" outlineLevel="0" collapsed="false">
      <c r="A195" s="8" t="n">
        <v>194</v>
      </c>
      <c r="B195" s="9" t="n">
        <v>46481</v>
      </c>
      <c r="C195" s="8" t="str">
        <f aca="false">CHOOSE(WEEKDAY(B195,2),"Lundi","Mardi","Mercredi","Jeudi","Vendredi","Samedi","Dimanche")</f>
        <v>Dimanche</v>
      </c>
      <c r="D195" s="8" t="s">
        <v>3</v>
      </c>
      <c r="E195" s="8" t="s">
        <v>35</v>
      </c>
      <c r="F195" s="11"/>
      <c r="G195" s="8" t="str">
        <f aca="true">IF(B195&lt;TODAY(),"Passé",IF(B195=TODAY(),"Aujourd'hui","À venir"))</f>
        <v>À venir</v>
      </c>
    </row>
    <row r="196" customFormat="false" ht="15" hidden="false" customHeight="false" outlineLevel="0" collapsed="false">
      <c r="A196" s="8" t="n">
        <v>195</v>
      </c>
      <c r="B196" s="9" t="n">
        <v>46482</v>
      </c>
      <c r="C196" s="8" t="str">
        <f aca="false">CHOOSE(WEEKDAY(B196,2),"Lundi","Mardi","Mercredi","Jeudi","Vendredi","Samedi","Dimanche")</f>
        <v>Lundi</v>
      </c>
      <c r="D196" s="8" t="s">
        <v>3</v>
      </c>
      <c r="E196" s="8" t="s">
        <v>37</v>
      </c>
      <c r="F196" s="11"/>
      <c r="G196" s="8" t="str">
        <f aca="true">IF(B196&lt;TODAY(),"Passé",IF(B196=TODAY(),"Aujourd'hui","À venir"))</f>
        <v>À venir</v>
      </c>
    </row>
    <row r="197" customFormat="false" ht="15" hidden="false" customHeight="false" outlineLevel="0" collapsed="false">
      <c r="A197" s="8" t="n">
        <v>196</v>
      </c>
      <c r="B197" s="9" t="n">
        <v>46483</v>
      </c>
      <c r="C197" s="8" t="str">
        <f aca="false">CHOOSE(WEEKDAY(B197,2),"Lundi","Mardi","Mercredi","Jeudi","Vendredi","Samedi","Dimanche")</f>
        <v>Mardi</v>
      </c>
      <c r="D197" s="8" t="s">
        <v>3</v>
      </c>
      <c r="E197" s="8" t="s">
        <v>39</v>
      </c>
      <c r="F197" s="11"/>
      <c r="G197" s="8" t="str">
        <f aca="true">IF(B197&lt;TODAY(),"Passé",IF(B197=TODAY(),"Aujourd'hui","À venir"))</f>
        <v>À venir</v>
      </c>
    </row>
    <row r="198" customFormat="false" ht="15" hidden="false" customHeight="false" outlineLevel="0" collapsed="false">
      <c r="A198" s="8" t="n">
        <v>197</v>
      </c>
      <c r="B198" s="9" t="n">
        <v>46484</v>
      </c>
      <c r="C198" s="8" t="str">
        <f aca="false">CHOOSE(WEEKDAY(B198,2),"Lundi","Mardi","Mercredi","Jeudi","Vendredi","Samedi","Dimanche")</f>
        <v>Mercredi</v>
      </c>
      <c r="D198" s="8" t="s">
        <v>3</v>
      </c>
      <c r="E198" s="8" t="s">
        <v>40</v>
      </c>
      <c r="F198" s="11"/>
      <c r="G198" s="8" t="str">
        <f aca="true">IF(B198&lt;TODAY(),"Passé",IF(B198=TODAY(),"Aujourd'hui","À venir"))</f>
        <v>À venir</v>
      </c>
    </row>
    <row r="199" customFormat="false" ht="15" hidden="false" customHeight="false" outlineLevel="0" collapsed="false">
      <c r="A199" s="8" t="n">
        <v>198</v>
      </c>
      <c r="B199" s="9" t="n">
        <v>46485</v>
      </c>
      <c r="C199" s="8" t="str">
        <f aca="false">CHOOSE(WEEKDAY(B199,2),"Lundi","Mardi","Mercredi","Jeudi","Vendredi","Samedi","Dimanche")</f>
        <v>Jeudi</v>
      </c>
      <c r="D199" s="8" t="s">
        <v>3</v>
      </c>
      <c r="E199" s="8" t="s">
        <v>41</v>
      </c>
      <c r="F199" s="11"/>
      <c r="G199" s="8" t="str">
        <f aca="true">IF(B199&lt;TODAY(),"Passé",IF(B199=TODAY(),"Aujourd'hui","À venir"))</f>
        <v>À venir</v>
      </c>
    </row>
    <row r="200" customFormat="false" ht="15" hidden="false" customHeight="false" outlineLevel="0" collapsed="false">
      <c r="A200" s="8" t="n">
        <v>199</v>
      </c>
      <c r="B200" s="9" t="n">
        <v>46486</v>
      </c>
      <c r="C200" s="8" t="str">
        <f aca="false">CHOOSE(WEEKDAY(B200,2),"Lundi","Mardi","Mercredi","Jeudi","Vendredi","Samedi","Dimanche")</f>
        <v>Vendredi</v>
      </c>
      <c r="D200" s="8" t="s">
        <v>3</v>
      </c>
      <c r="E200" s="8" t="s">
        <v>33</v>
      </c>
      <c r="F200" s="11"/>
      <c r="G200" s="8" t="str">
        <f aca="true">IF(B200&lt;TODAY(),"Passé",IF(B200=TODAY(),"Aujourd'hui","À venir"))</f>
        <v>À venir</v>
      </c>
    </row>
    <row r="201" customFormat="false" ht="15" hidden="false" customHeight="false" outlineLevel="0" collapsed="false">
      <c r="A201" s="8" t="n">
        <v>200</v>
      </c>
      <c r="B201" s="9" t="n">
        <v>46487</v>
      </c>
      <c r="C201" s="8" t="str">
        <f aca="false">CHOOSE(WEEKDAY(B201,2),"Lundi","Mardi","Mercredi","Jeudi","Vendredi","Samedi","Dimanche")</f>
        <v>Samedi</v>
      </c>
      <c r="D201" s="8" t="s">
        <v>3</v>
      </c>
      <c r="E201" s="8" t="s">
        <v>35</v>
      </c>
      <c r="F201" s="11"/>
      <c r="G201" s="8" t="str">
        <f aca="true">IF(B201&lt;TODAY(),"Passé",IF(B201=TODAY(),"Aujourd'hui","À venir"))</f>
        <v>À venir</v>
      </c>
    </row>
    <row r="202" customFormat="false" ht="15" hidden="false" customHeight="false" outlineLevel="0" collapsed="false">
      <c r="A202" s="8" t="n">
        <v>201</v>
      </c>
      <c r="B202" s="9" t="n">
        <v>46488</v>
      </c>
      <c r="C202" s="8" t="str">
        <f aca="false">CHOOSE(WEEKDAY(B202,2),"Lundi","Mardi","Mercredi","Jeudi","Vendredi","Samedi","Dimanche")</f>
        <v>Dimanche</v>
      </c>
      <c r="D202" s="8" t="s">
        <v>3</v>
      </c>
      <c r="E202" s="8" t="s">
        <v>37</v>
      </c>
      <c r="F202" s="11"/>
      <c r="G202" s="8" t="str">
        <f aca="true">IF(B202&lt;TODAY(),"Passé",IF(B202=TODAY(),"Aujourd'hui","À venir"))</f>
        <v>À venir</v>
      </c>
    </row>
    <row r="203" customFormat="false" ht="15" hidden="false" customHeight="false" outlineLevel="0" collapsed="false">
      <c r="A203" s="8" t="n">
        <v>202</v>
      </c>
      <c r="B203" s="9" t="n">
        <v>46489</v>
      </c>
      <c r="C203" s="8" t="str">
        <f aca="false">CHOOSE(WEEKDAY(B203,2),"Lundi","Mardi","Mercredi","Jeudi","Vendredi","Samedi","Dimanche")</f>
        <v>Lundi</v>
      </c>
      <c r="D203" s="8" t="s">
        <v>3</v>
      </c>
      <c r="E203" s="8" t="s">
        <v>39</v>
      </c>
      <c r="F203" s="11"/>
      <c r="G203" s="8" t="str">
        <f aca="true">IF(B203&lt;TODAY(),"Passé",IF(B203=TODAY(),"Aujourd'hui","À venir"))</f>
        <v>À venir</v>
      </c>
    </row>
    <row r="204" customFormat="false" ht="15" hidden="false" customHeight="false" outlineLevel="0" collapsed="false">
      <c r="A204" s="8" t="n">
        <v>203</v>
      </c>
      <c r="B204" s="9" t="n">
        <v>46490</v>
      </c>
      <c r="C204" s="8" t="str">
        <f aca="false">CHOOSE(WEEKDAY(B204,2),"Lundi","Mardi","Mercredi","Jeudi","Vendredi","Samedi","Dimanche")</f>
        <v>Mardi</v>
      </c>
      <c r="D204" s="8" t="s">
        <v>3</v>
      </c>
      <c r="E204" s="8" t="s">
        <v>40</v>
      </c>
      <c r="F204" s="11"/>
      <c r="G204" s="8" t="str">
        <f aca="true">IF(B204&lt;TODAY(),"Passé",IF(B204=TODAY(),"Aujourd'hui","À venir"))</f>
        <v>À venir</v>
      </c>
    </row>
    <row r="205" customFormat="false" ht="15" hidden="false" customHeight="false" outlineLevel="0" collapsed="false">
      <c r="A205" s="8" t="n">
        <v>204</v>
      </c>
      <c r="B205" s="9" t="n">
        <v>46491</v>
      </c>
      <c r="C205" s="8" t="str">
        <f aca="false">CHOOSE(WEEKDAY(B205,2),"Lundi","Mardi","Mercredi","Jeudi","Vendredi","Samedi","Dimanche")</f>
        <v>Mercredi</v>
      </c>
      <c r="D205" s="8" t="s">
        <v>3</v>
      </c>
      <c r="E205" s="8" t="s">
        <v>41</v>
      </c>
      <c r="F205" s="11"/>
      <c r="G205" s="8" t="str">
        <f aca="true">IF(B205&lt;TODAY(),"Passé",IF(B205=TODAY(),"Aujourd'hui","À venir"))</f>
        <v>À venir</v>
      </c>
    </row>
    <row r="206" customFormat="false" ht="15" hidden="false" customHeight="false" outlineLevel="0" collapsed="false">
      <c r="A206" s="8" t="n">
        <v>205</v>
      </c>
      <c r="B206" s="9" t="n">
        <v>46492</v>
      </c>
      <c r="C206" s="8" t="str">
        <f aca="false">CHOOSE(WEEKDAY(B206,2),"Lundi","Mardi","Mercredi","Jeudi","Vendredi","Samedi","Dimanche")</f>
        <v>Jeudi</v>
      </c>
      <c r="D206" s="8" t="s">
        <v>3</v>
      </c>
      <c r="E206" s="8" t="s">
        <v>33</v>
      </c>
      <c r="F206" s="11"/>
      <c r="G206" s="8" t="str">
        <f aca="true">IF(B206&lt;TODAY(),"Passé",IF(B206=TODAY(),"Aujourd'hui","À venir"))</f>
        <v>À venir</v>
      </c>
    </row>
    <row r="207" customFormat="false" ht="15" hidden="false" customHeight="false" outlineLevel="0" collapsed="false">
      <c r="A207" s="8" t="n">
        <v>206</v>
      </c>
      <c r="B207" s="9" t="n">
        <v>46493</v>
      </c>
      <c r="C207" s="8" t="str">
        <f aca="false">CHOOSE(WEEKDAY(B207,2),"Lundi","Mardi","Mercredi","Jeudi","Vendredi","Samedi","Dimanche")</f>
        <v>Vendredi</v>
      </c>
      <c r="D207" s="8" t="s">
        <v>3</v>
      </c>
      <c r="E207" s="8" t="s">
        <v>35</v>
      </c>
      <c r="F207" s="11"/>
      <c r="G207" s="8" t="str">
        <f aca="true">IF(B207&lt;TODAY(),"Passé",IF(B207=TODAY(),"Aujourd'hui","À venir"))</f>
        <v>À venir</v>
      </c>
    </row>
    <row r="208" customFormat="false" ht="15" hidden="false" customHeight="false" outlineLevel="0" collapsed="false">
      <c r="A208" s="8" t="n">
        <v>207</v>
      </c>
      <c r="B208" s="9" t="n">
        <v>46494</v>
      </c>
      <c r="C208" s="8" t="str">
        <f aca="false">CHOOSE(WEEKDAY(B208,2),"Lundi","Mardi","Mercredi","Jeudi","Vendredi","Samedi","Dimanche")</f>
        <v>Samedi</v>
      </c>
      <c r="D208" s="8" t="s">
        <v>3</v>
      </c>
      <c r="E208" s="8" t="s">
        <v>37</v>
      </c>
      <c r="F208" s="11"/>
      <c r="G208" s="8" t="str">
        <f aca="true">IF(B208&lt;TODAY(),"Passé",IF(B208=TODAY(),"Aujourd'hui","À venir"))</f>
        <v>À venir</v>
      </c>
    </row>
    <row r="209" customFormat="false" ht="15" hidden="false" customHeight="false" outlineLevel="0" collapsed="false">
      <c r="A209" s="8" t="n">
        <v>208</v>
      </c>
      <c r="B209" s="9" t="n">
        <v>46495</v>
      </c>
      <c r="C209" s="8" t="str">
        <f aca="false">CHOOSE(WEEKDAY(B209,2),"Lundi","Mardi","Mercredi","Jeudi","Vendredi","Samedi","Dimanche")</f>
        <v>Dimanche</v>
      </c>
      <c r="D209" s="8" t="s">
        <v>3</v>
      </c>
      <c r="E209" s="8" t="s">
        <v>39</v>
      </c>
      <c r="F209" s="11"/>
      <c r="G209" s="8" t="str">
        <f aca="true">IF(B209&lt;TODAY(),"Passé",IF(B209=TODAY(),"Aujourd'hui","À venir"))</f>
        <v>À venir</v>
      </c>
    </row>
    <row r="210" customFormat="false" ht="15" hidden="false" customHeight="false" outlineLevel="0" collapsed="false">
      <c r="A210" s="8" t="n">
        <v>209</v>
      </c>
      <c r="B210" s="9" t="n">
        <v>46496</v>
      </c>
      <c r="C210" s="8" t="str">
        <f aca="false">CHOOSE(WEEKDAY(B210,2),"Lundi","Mardi","Mercredi","Jeudi","Vendredi","Samedi","Dimanche")</f>
        <v>Lundi</v>
      </c>
      <c r="D210" s="8" t="s">
        <v>3</v>
      </c>
      <c r="E210" s="8" t="s">
        <v>40</v>
      </c>
      <c r="F210" s="11"/>
      <c r="G210" s="8" t="str">
        <f aca="true">IF(B210&lt;TODAY(),"Passé",IF(B210=TODAY(),"Aujourd'hui","À venir"))</f>
        <v>À venir</v>
      </c>
    </row>
    <row r="211" customFormat="false" ht="15" hidden="false" customHeight="false" outlineLevel="0" collapsed="false">
      <c r="A211" s="8" t="n">
        <v>210</v>
      </c>
      <c r="B211" s="9" t="n">
        <v>46497</v>
      </c>
      <c r="C211" s="8" t="str">
        <f aca="false">CHOOSE(WEEKDAY(B211,2),"Lundi","Mardi","Mercredi","Jeudi","Vendredi","Samedi","Dimanche")</f>
        <v>Mardi</v>
      </c>
      <c r="D211" s="8" t="s">
        <v>3</v>
      </c>
      <c r="E211" s="8" t="s">
        <v>41</v>
      </c>
      <c r="F211" s="11"/>
      <c r="G211" s="8" t="str">
        <f aca="true">IF(B211&lt;TODAY(),"Passé",IF(B211=TODAY(),"Aujourd'hui","À venir"))</f>
        <v>À venir</v>
      </c>
    </row>
    <row r="212" customFormat="false" ht="15" hidden="false" customHeight="false" outlineLevel="0" collapsed="false">
      <c r="A212" s="8" t="n">
        <v>211</v>
      </c>
      <c r="B212" s="9" t="n">
        <v>46498</v>
      </c>
      <c r="C212" s="8" t="str">
        <f aca="false">CHOOSE(WEEKDAY(B212,2),"Lundi","Mardi","Mercredi","Jeudi","Vendredi","Samedi","Dimanche")</f>
        <v>Mercredi</v>
      </c>
      <c r="D212" s="8" t="s">
        <v>3</v>
      </c>
      <c r="E212" s="8" t="s">
        <v>33</v>
      </c>
      <c r="F212" s="11"/>
      <c r="G212" s="8" t="str">
        <f aca="true">IF(B212&lt;TODAY(),"Passé",IF(B212=TODAY(),"Aujourd'hui","À venir"))</f>
        <v>À venir</v>
      </c>
    </row>
    <row r="213" customFormat="false" ht="15" hidden="false" customHeight="false" outlineLevel="0" collapsed="false">
      <c r="A213" s="8" t="n">
        <v>212</v>
      </c>
      <c r="B213" s="9" t="n">
        <v>46499</v>
      </c>
      <c r="C213" s="8" t="str">
        <f aca="false">CHOOSE(WEEKDAY(B213,2),"Lundi","Mardi","Mercredi","Jeudi","Vendredi","Samedi","Dimanche")</f>
        <v>Jeudi</v>
      </c>
      <c r="D213" s="8" t="s">
        <v>3</v>
      </c>
      <c r="E213" s="8" t="s">
        <v>35</v>
      </c>
      <c r="F213" s="11"/>
      <c r="G213" s="8" t="str">
        <f aca="true">IF(B213&lt;TODAY(),"Passé",IF(B213=TODAY(),"Aujourd'hui","À venir"))</f>
        <v>À venir</v>
      </c>
    </row>
    <row r="214" customFormat="false" ht="15" hidden="false" customHeight="false" outlineLevel="0" collapsed="false">
      <c r="A214" s="8" t="n">
        <v>213</v>
      </c>
      <c r="B214" s="9" t="n">
        <v>46500</v>
      </c>
      <c r="C214" s="8" t="str">
        <f aca="false">CHOOSE(WEEKDAY(B214,2),"Lundi","Mardi","Mercredi","Jeudi","Vendredi","Samedi","Dimanche")</f>
        <v>Vendredi</v>
      </c>
      <c r="D214" s="8" t="s">
        <v>3</v>
      </c>
      <c r="E214" s="8" t="s">
        <v>37</v>
      </c>
      <c r="F214" s="11"/>
      <c r="G214" s="8" t="str">
        <f aca="true">IF(B214&lt;TODAY(),"Passé",IF(B214=TODAY(),"Aujourd'hui","À venir"))</f>
        <v>À venir</v>
      </c>
    </row>
    <row r="215" customFormat="false" ht="15" hidden="false" customHeight="false" outlineLevel="0" collapsed="false">
      <c r="A215" s="8" t="n">
        <v>214</v>
      </c>
      <c r="B215" s="9" t="n">
        <v>46501</v>
      </c>
      <c r="C215" s="8" t="str">
        <f aca="false">CHOOSE(WEEKDAY(B215,2),"Lundi","Mardi","Mercredi","Jeudi","Vendredi","Samedi","Dimanche")</f>
        <v>Samedi</v>
      </c>
      <c r="D215" s="8" t="s">
        <v>3</v>
      </c>
      <c r="E215" s="8" t="s">
        <v>39</v>
      </c>
      <c r="F215" s="11"/>
      <c r="G215" s="8" t="str">
        <f aca="true">IF(B215&lt;TODAY(),"Passé",IF(B215=TODAY(),"Aujourd'hui","À venir"))</f>
        <v>À venir</v>
      </c>
    </row>
    <row r="216" customFormat="false" ht="15" hidden="false" customHeight="false" outlineLevel="0" collapsed="false">
      <c r="A216" s="8" t="n">
        <v>215</v>
      </c>
      <c r="B216" s="9" t="n">
        <v>46502</v>
      </c>
      <c r="C216" s="8" t="str">
        <f aca="false">CHOOSE(WEEKDAY(B216,2),"Lundi","Mardi","Mercredi","Jeudi","Vendredi","Samedi","Dimanche")</f>
        <v>Dimanche</v>
      </c>
      <c r="D216" s="8" t="s">
        <v>3</v>
      </c>
      <c r="E216" s="8" t="s">
        <v>40</v>
      </c>
      <c r="F216" s="11"/>
      <c r="G216" s="8" t="str">
        <f aca="true">IF(B216&lt;TODAY(),"Passé",IF(B216=TODAY(),"Aujourd'hui","À venir"))</f>
        <v>À venir</v>
      </c>
    </row>
    <row r="217" customFormat="false" ht="15" hidden="false" customHeight="false" outlineLevel="0" collapsed="false">
      <c r="A217" s="8" t="n">
        <v>216</v>
      </c>
      <c r="B217" s="9" t="n">
        <v>46503</v>
      </c>
      <c r="C217" s="8" t="str">
        <f aca="false">CHOOSE(WEEKDAY(B217,2),"Lundi","Mardi","Mercredi","Jeudi","Vendredi","Samedi","Dimanche")</f>
        <v>Lundi</v>
      </c>
      <c r="D217" s="8" t="s">
        <v>3</v>
      </c>
      <c r="E217" s="8" t="s">
        <v>41</v>
      </c>
      <c r="F217" s="11"/>
      <c r="G217" s="8" t="str">
        <f aca="true">IF(B217&lt;TODAY(),"Passé",IF(B217=TODAY(),"Aujourd'hui","À venir"))</f>
        <v>À venir</v>
      </c>
    </row>
    <row r="218" customFormat="false" ht="15" hidden="false" customHeight="false" outlineLevel="0" collapsed="false">
      <c r="A218" s="8" t="n">
        <v>217</v>
      </c>
      <c r="B218" s="9" t="n">
        <v>46504</v>
      </c>
      <c r="C218" s="8" t="str">
        <f aca="false">CHOOSE(WEEKDAY(B218,2),"Lundi","Mardi","Mercredi","Jeudi","Vendredi","Samedi","Dimanche")</f>
        <v>Mardi</v>
      </c>
      <c r="D218" s="8" t="s">
        <v>3</v>
      </c>
      <c r="E218" s="8" t="s">
        <v>33</v>
      </c>
      <c r="F218" s="11"/>
      <c r="G218" s="8" t="str">
        <f aca="true">IF(B218&lt;TODAY(),"Passé",IF(B218=TODAY(),"Aujourd'hui","À venir"))</f>
        <v>À venir</v>
      </c>
    </row>
    <row r="219" customFormat="false" ht="15" hidden="false" customHeight="false" outlineLevel="0" collapsed="false">
      <c r="A219" s="8" t="n">
        <v>218</v>
      </c>
      <c r="B219" s="9" t="n">
        <v>46505</v>
      </c>
      <c r="C219" s="8" t="str">
        <f aca="false">CHOOSE(WEEKDAY(B219,2),"Lundi","Mardi","Mercredi","Jeudi","Vendredi","Samedi","Dimanche")</f>
        <v>Mercredi</v>
      </c>
      <c r="D219" s="8" t="s">
        <v>3</v>
      </c>
      <c r="E219" s="8" t="s">
        <v>35</v>
      </c>
      <c r="F219" s="11"/>
      <c r="G219" s="8" t="str">
        <f aca="true">IF(B219&lt;TODAY(),"Passé",IF(B219=TODAY(),"Aujourd'hui","À venir"))</f>
        <v>À venir</v>
      </c>
    </row>
    <row r="220" customFormat="false" ht="15" hidden="false" customHeight="false" outlineLevel="0" collapsed="false">
      <c r="A220" s="8" t="n">
        <v>219</v>
      </c>
      <c r="B220" s="9" t="n">
        <v>46506</v>
      </c>
      <c r="C220" s="8" t="str">
        <f aca="false">CHOOSE(WEEKDAY(B220,2),"Lundi","Mardi","Mercredi","Jeudi","Vendredi","Samedi","Dimanche")</f>
        <v>Jeudi</v>
      </c>
      <c r="D220" s="8" t="s">
        <v>3</v>
      </c>
      <c r="E220" s="8" t="s">
        <v>37</v>
      </c>
      <c r="F220" s="11"/>
      <c r="G220" s="8" t="str">
        <f aca="true">IF(B220&lt;TODAY(),"Passé",IF(B220=TODAY(),"Aujourd'hui","À venir"))</f>
        <v>À venir</v>
      </c>
    </row>
    <row r="221" customFormat="false" ht="15" hidden="false" customHeight="false" outlineLevel="0" collapsed="false">
      <c r="A221" s="8" t="n">
        <v>220</v>
      </c>
      <c r="B221" s="9" t="n">
        <v>46507</v>
      </c>
      <c r="C221" s="8" t="str">
        <f aca="false">CHOOSE(WEEKDAY(B221,2),"Lundi","Mardi","Mercredi","Jeudi","Vendredi","Samedi","Dimanche")</f>
        <v>Vendredi</v>
      </c>
      <c r="D221" s="8" t="s">
        <v>3</v>
      </c>
      <c r="E221" s="8" t="s">
        <v>39</v>
      </c>
      <c r="F221" s="11"/>
      <c r="G221" s="8" t="str">
        <f aca="true">IF(B221&lt;TODAY(),"Passé",IF(B221=TODAY(),"Aujourd'hui","À venir"))</f>
        <v>À venir</v>
      </c>
    </row>
    <row r="222" customFormat="false" ht="15" hidden="false" customHeight="false" outlineLevel="0" collapsed="false">
      <c r="A222" s="8" t="n">
        <v>221</v>
      </c>
      <c r="B222" s="9" t="n">
        <v>46508</v>
      </c>
      <c r="C222" s="8" t="str">
        <f aca="false">CHOOSE(WEEKDAY(B222,2),"Lundi","Mardi","Mercredi","Jeudi","Vendredi","Samedi","Dimanche")</f>
        <v>Samedi</v>
      </c>
      <c r="D222" s="8" t="s">
        <v>3</v>
      </c>
      <c r="E222" s="8" t="s">
        <v>40</v>
      </c>
      <c r="F222" s="11"/>
      <c r="G222" s="8" t="str">
        <f aca="true">IF(B222&lt;TODAY(),"Passé",IF(B222=TODAY(),"Aujourd'hui","À venir"))</f>
        <v>À venir</v>
      </c>
    </row>
    <row r="223" customFormat="false" ht="15" hidden="false" customHeight="false" outlineLevel="0" collapsed="false">
      <c r="A223" s="8" t="n">
        <v>222</v>
      </c>
      <c r="B223" s="9" t="n">
        <v>46509</v>
      </c>
      <c r="C223" s="8" t="str">
        <f aca="false">CHOOSE(WEEKDAY(B223,2),"Lundi","Mardi","Mercredi","Jeudi","Vendredi","Samedi","Dimanche")</f>
        <v>Dimanche</v>
      </c>
      <c r="D223" s="8" t="s">
        <v>3</v>
      </c>
      <c r="E223" s="8" t="s">
        <v>41</v>
      </c>
      <c r="F223" s="11"/>
      <c r="G223" s="8" t="str">
        <f aca="true">IF(B223&lt;TODAY(),"Passé",IF(B223=TODAY(),"Aujourd'hui","À venir"))</f>
        <v>À venir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5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7" t="s">
        <v>42</v>
      </c>
      <c r="B1" s="7" t="s">
        <v>43</v>
      </c>
      <c r="C1" s="7" t="s">
        <v>44</v>
      </c>
      <c r="D1" s="7" t="s">
        <v>45</v>
      </c>
    </row>
    <row r="2" customFormat="false" ht="15" hidden="false" customHeight="false" outlineLevel="0" collapsed="false">
      <c r="A2" s="8" t="s">
        <v>46</v>
      </c>
      <c r="B2" s="8" t="s">
        <v>47</v>
      </c>
      <c r="C2" s="8" t="s">
        <v>48</v>
      </c>
      <c r="D2" s="12" t="s">
        <v>49</v>
      </c>
    </row>
    <row r="3" customFormat="false" ht="15" hidden="false" customHeight="false" outlineLevel="0" collapsed="false">
      <c r="A3" s="8" t="s">
        <v>50</v>
      </c>
      <c r="B3" s="8" t="s">
        <v>51</v>
      </c>
      <c r="C3" s="8" t="s">
        <v>52</v>
      </c>
      <c r="D3" s="13" t="s">
        <v>53</v>
      </c>
    </row>
    <row r="4" customFormat="false" ht="15" hidden="false" customHeight="false" outlineLevel="0" collapsed="false">
      <c r="A4" s="8" t="s">
        <v>54</v>
      </c>
      <c r="B4" s="8" t="s">
        <v>55</v>
      </c>
      <c r="C4" s="8" t="s">
        <v>56</v>
      </c>
      <c r="D4" s="1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7" t="s">
        <v>58</v>
      </c>
      <c r="B1" s="7" t="s">
        <v>59</v>
      </c>
      <c r="C1" s="7" t="s">
        <v>27</v>
      </c>
      <c r="D1" s="7" t="s">
        <v>60</v>
      </c>
      <c r="E1" s="7" t="s">
        <v>42</v>
      </c>
      <c r="F1" s="7" t="s">
        <v>61</v>
      </c>
    </row>
    <row r="2" customFormat="false" ht="15" hidden="false" customHeight="false" outlineLevel="0" collapsed="false">
      <c r="A2" s="15" t="n">
        <v>1</v>
      </c>
      <c r="B2" s="15" t="n">
        <v>1</v>
      </c>
      <c r="C2" s="16" t="n">
        <v>46288</v>
      </c>
      <c r="D2" s="15" t="s">
        <v>62</v>
      </c>
      <c r="E2" s="15" t="s">
        <v>46</v>
      </c>
      <c r="F2" s="15" t="s">
        <v>63</v>
      </c>
      <c r="G2" s="17" t="s">
        <v>64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</row>
    <row r="32" customFormat="false" ht="15" hidden="false" customHeight="false" outlineLevel="0" collapsed="false">
      <c r="B32" s="5" t="s">
        <v>65</v>
      </c>
    </row>
    <row r="33" customFormat="false" ht="15" hidden="false" customHeight="false" outlineLevel="0" collapsed="false">
      <c r="B33" s="18" t="s">
        <v>66</v>
      </c>
    </row>
    <row r="34" customFormat="false" ht="15" hidden="false" customHeight="false" outlineLevel="0" collapsed="false">
      <c r="B34" s="18" t="s">
        <v>67</v>
      </c>
    </row>
    <row r="35" customFormat="false" ht="15" hidden="false" customHeight="false" outlineLevel="0" collapsed="false">
      <c r="B35" s="18" t="s">
        <v>68</v>
      </c>
    </row>
    <row r="36" customFormat="false" ht="15" hidden="false" customHeight="false" outlineLevel="0" collapsed="false">
      <c r="B36" s="18" t="s">
        <v>69</v>
      </c>
    </row>
  </sheetData>
  <dataValidations count="1">
    <dataValidation allowBlank="true" errorStyle="stop" operator="between" showDropDown="false" showErrorMessage="false" showInputMessage="false" sqref="E3:E29" type="list">
      <formula1>'Choix de vote'!$A$2:$A$4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0"/>
    <col collapsed="false" customWidth="true" hidden="false" outlineLevel="0" max="5" min="3" style="0" width="8"/>
    <col collapsed="false" customWidth="true" hidden="false" outlineLevel="0" max="6" min="6" style="0" width="9"/>
  </cols>
  <sheetData>
    <row r="1" customFormat="false" ht="15" hidden="false" customHeight="false" outlineLevel="0" collapsed="false">
      <c r="A1" s="7" t="s">
        <v>27</v>
      </c>
      <c r="B1" s="7" t="s">
        <v>31</v>
      </c>
      <c r="C1" s="7" t="s">
        <v>46</v>
      </c>
      <c r="D1" s="7" t="s">
        <v>50</v>
      </c>
      <c r="E1" s="7" t="s">
        <v>54</v>
      </c>
      <c r="F1" s="7" t="s">
        <v>70</v>
      </c>
    </row>
    <row r="2" customFormat="false" ht="15" hidden="false" customHeight="false" outlineLevel="0" collapsed="false">
      <c r="A2" s="9" t="n">
        <v>46288</v>
      </c>
      <c r="B2" s="8" t="str">
        <f aca="false">T(INDEX('Vote du jour'!$F$2:$F$223,MATCH(A2,'Vote du jour'!$B$2:$B$223,0)))</f>
        <v>Faut-il rendre le vote obligatoire à toutes les élections nationales ?</v>
      </c>
      <c r="C2" s="8" t="n">
        <f aca="false">COUNTIFS('Votes (table)'!$C$2:$C$1000,A2,'Votes (table)'!$E$2:$E$1000,"oui")</f>
        <v>1</v>
      </c>
      <c r="D2" s="8" t="n">
        <f aca="false">COUNTIFS('Votes (table)'!$C$2:$C$1000,A2,'Votes (table)'!$E$2:$E$1000,"non")</f>
        <v>0</v>
      </c>
      <c r="E2" s="8" t="n">
        <f aca="false">COUNTIFS('Votes (table)'!$C$2:$C$1000,A2,'Votes (table)'!$E$2:$E$1000,"blanc")</f>
        <v>0</v>
      </c>
      <c r="F2" s="8" t="n">
        <f aca="false">SUM(C2:E2)</f>
        <v>1</v>
      </c>
    </row>
    <row r="3" customFormat="false" ht="15" hidden="false" customHeight="false" outlineLevel="0" collapsed="false">
      <c r="A3" s="9" t="n">
        <v>46289</v>
      </c>
      <c r="B3" s="8" t="str">
        <f aca="false">T(INDEX('Vote du jour'!$F$2:$F$223,MATCH(A3,'Vote du jour'!$B$2:$B$223,0)))</f>
        <v>Faut-il indexer les salaires sur l'inflation ?</v>
      </c>
      <c r="C3" s="8" t="n">
        <f aca="false">COUNTIFS('Votes (table)'!$C$2:$C$1000,A3,'Votes (table)'!$E$2:$E$1000,"oui")</f>
        <v>0</v>
      </c>
      <c r="D3" s="8" t="n">
        <f aca="false">COUNTIFS('Votes (table)'!$C$2:$C$1000,A3,'Votes (table)'!$E$2:$E$1000,"non")</f>
        <v>0</v>
      </c>
      <c r="E3" s="8" t="n">
        <f aca="false">COUNTIFS('Votes (table)'!$C$2:$C$1000,A3,'Votes (table)'!$E$2:$E$1000,"blanc")</f>
        <v>0</v>
      </c>
      <c r="F3" s="8" t="n">
        <f aca="false">SUM(C3:E3)</f>
        <v>0</v>
      </c>
    </row>
    <row r="4" customFormat="false" ht="15" hidden="false" customHeight="false" outlineLevel="0" collapsed="false">
      <c r="A4" s="9" t="n">
        <v>46290</v>
      </c>
      <c r="B4" s="8" t="str">
        <f aca="false">T(INDEX('Vote du jour'!$F$2:$F$223,MATCH(A4,'Vote du jour'!$B$2:$B$223,0)))</f>
        <v>La France doit-elle interdire la vente de voitures thermiques neuves dès 2030 ?</v>
      </c>
      <c r="C4" s="8" t="n">
        <f aca="false">COUNTIFS('Votes (table)'!$C$2:$C$1000,A4,'Votes (table)'!$E$2:$E$1000,"oui")</f>
        <v>0</v>
      </c>
      <c r="D4" s="8" t="n">
        <f aca="false">COUNTIFS('Votes (table)'!$C$2:$C$1000,A4,'Votes (table)'!$E$2:$E$1000,"non")</f>
        <v>0</v>
      </c>
      <c r="E4" s="8" t="n">
        <f aca="false">COUNTIFS('Votes (table)'!$C$2:$C$1000,A4,'Votes (table)'!$E$2:$E$1000,"blanc")</f>
        <v>0</v>
      </c>
      <c r="F4" s="8" t="n">
        <f aca="false">SUM(C4:E4)</f>
        <v>0</v>
      </c>
    </row>
    <row r="5" customFormat="false" ht="15" hidden="false" customHeight="false" outlineLevel="0" collapsed="false">
      <c r="A5" s="9" t="n">
        <v>46291</v>
      </c>
      <c r="B5" s="8" t="str">
        <f aca="false">T(INDEX('Vote du jour'!$F$2:$F$223,MATCH(A5,'Vote du jour'!$B$2:$B$223,0)))</f>
        <v/>
      </c>
      <c r="C5" s="8" t="n">
        <f aca="false">COUNTIFS('Votes (table)'!$C$2:$C$1000,A5,'Votes (table)'!$E$2:$E$1000,"oui")</f>
        <v>0</v>
      </c>
      <c r="D5" s="8" t="n">
        <f aca="false">COUNTIFS('Votes (table)'!$C$2:$C$1000,A5,'Votes (table)'!$E$2:$E$1000,"non")</f>
        <v>0</v>
      </c>
      <c r="E5" s="8" t="n">
        <f aca="false">COUNTIFS('Votes (table)'!$C$2:$C$1000,A5,'Votes (table)'!$E$2:$E$1000,"blanc")</f>
        <v>0</v>
      </c>
      <c r="F5" s="8" t="n">
        <f aca="false">SUM(C5:E5)</f>
        <v>0</v>
      </c>
    </row>
    <row r="6" customFormat="false" ht="15" hidden="false" customHeight="false" outlineLevel="0" collapsed="false">
      <c r="A6" s="9" t="n">
        <v>46292</v>
      </c>
      <c r="B6" s="8" t="str">
        <f aca="false">T(INDEX('Vote du jour'!$F$2:$F$223,MATCH(A6,'Vote du jour'!$B$2:$B$223,0)))</f>
        <v/>
      </c>
      <c r="C6" s="8" t="n">
        <f aca="false">COUNTIFS('Votes (table)'!$C$2:$C$1000,A6,'Votes (table)'!$E$2:$E$1000,"oui")</f>
        <v>0</v>
      </c>
      <c r="D6" s="8" t="n">
        <f aca="false">COUNTIFS('Votes (table)'!$C$2:$C$1000,A6,'Votes (table)'!$E$2:$E$1000,"non")</f>
        <v>0</v>
      </c>
      <c r="E6" s="8" t="n">
        <f aca="false">COUNTIFS('Votes (table)'!$C$2:$C$1000,A6,'Votes (table)'!$E$2:$E$1000,"blanc")</f>
        <v>0</v>
      </c>
      <c r="F6" s="8" t="n">
        <f aca="false">SUM(C6:E6)</f>
        <v>0</v>
      </c>
    </row>
    <row r="7" customFormat="false" ht="15" hidden="false" customHeight="false" outlineLevel="0" collapsed="false">
      <c r="A7" s="9" t="n">
        <v>46293</v>
      </c>
      <c r="B7" s="8" t="str">
        <f aca="false">T(INDEX('Vote du jour'!$F$2:$F$223,MATCH(A7,'Vote du jour'!$B$2:$B$223,0)))</f>
        <v/>
      </c>
      <c r="C7" s="8" t="n">
        <f aca="false">COUNTIFS('Votes (table)'!$C$2:$C$1000,A7,'Votes (table)'!$E$2:$E$1000,"oui")</f>
        <v>0</v>
      </c>
      <c r="D7" s="8" t="n">
        <f aca="false">COUNTIFS('Votes (table)'!$C$2:$C$1000,A7,'Votes (table)'!$E$2:$E$1000,"non")</f>
        <v>0</v>
      </c>
      <c r="E7" s="8" t="n">
        <f aca="false">COUNTIFS('Votes (table)'!$C$2:$C$1000,A7,'Votes (table)'!$E$2:$E$1000,"blanc")</f>
        <v>0</v>
      </c>
      <c r="F7" s="8" t="n">
        <f aca="false">SUM(C7:E7)</f>
        <v>0</v>
      </c>
    </row>
    <row r="8" customFormat="false" ht="15" hidden="false" customHeight="false" outlineLevel="0" collapsed="false">
      <c r="A8" s="9" t="n">
        <v>46294</v>
      </c>
      <c r="B8" s="8" t="str">
        <f aca="false">T(INDEX('Vote du jour'!$F$2:$F$223,MATCH(A8,'Vote du jour'!$B$2:$B$223,0)))</f>
        <v/>
      </c>
      <c r="C8" s="8" t="n">
        <f aca="false">COUNTIFS('Votes (table)'!$C$2:$C$1000,A8,'Votes (table)'!$E$2:$E$1000,"oui")</f>
        <v>0</v>
      </c>
      <c r="D8" s="8" t="n">
        <f aca="false">COUNTIFS('Votes (table)'!$C$2:$C$1000,A8,'Votes (table)'!$E$2:$E$1000,"non")</f>
        <v>0</v>
      </c>
      <c r="E8" s="8" t="n">
        <f aca="false">COUNTIFS('Votes (table)'!$C$2:$C$1000,A8,'Votes (table)'!$E$2:$E$1000,"blanc")</f>
        <v>0</v>
      </c>
      <c r="F8" s="8" t="n">
        <f aca="false">SUM(C8:E8)</f>
        <v>0</v>
      </c>
    </row>
    <row r="9" customFormat="false" ht="15" hidden="false" customHeight="false" outlineLevel="0" collapsed="false">
      <c r="A9" s="9" t="n">
        <v>46295</v>
      </c>
      <c r="B9" s="8" t="str">
        <f aca="false">T(INDEX('Vote du jour'!$F$2:$F$223,MATCH(A9,'Vote du jour'!$B$2:$B$223,0)))</f>
        <v/>
      </c>
      <c r="C9" s="8" t="n">
        <f aca="false">COUNTIFS('Votes (table)'!$C$2:$C$1000,A9,'Votes (table)'!$E$2:$E$1000,"oui")</f>
        <v>0</v>
      </c>
      <c r="D9" s="8" t="n">
        <f aca="false">COUNTIFS('Votes (table)'!$C$2:$C$1000,A9,'Votes (table)'!$E$2:$E$1000,"non")</f>
        <v>0</v>
      </c>
      <c r="E9" s="8" t="n">
        <f aca="false">COUNTIFS('Votes (table)'!$C$2:$C$1000,A9,'Votes (table)'!$E$2:$E$1000,"blanc")</f>
        <v>0</v>
      </c>
      <c r="F9" s="8" t="n">
        <f aca="false">SUM(C9:E9)</f>
        <v>0</v>
      </c>
    </row>
    <row r="10" customFormat="false" ht="15" hidden="false" customHeight="false" outlineLevel="0" collapsed="false">
      <c r="A10" s="9" t="n">
        <v>46296</v>
      </c>
      <c r="B10" s="8" t="str">
        <f aca="false">T(INDEX('Vote du jour'!$F$2:$F$223,MATCH(A10,'Vote du jour'!$B$2:$B$223,0)))</f>
        <v/>
      </c>
      <c r="C10" s="8" t="n">
        <f aca="false">COUNTIFS('Votes (table)'!$C$2:$C$1000,A10,'Votes (table)'!$E$2:$E$1000,"oui")</f>
        <v>0</v>
      </c>
      <c r="D10" s="8" t="n">
        <f aca="false">COUNTIFS('Votes (table)'!$C$2:$C$1000,A10,'Votes (table)'!$E$2:$E$1000,"non")</f>
        <v>0</v>
      </c>
      <c r="E10" s="8" t="n">
        <f aca="false">COUNTIFS('Votes (table)'!$C$2:$C$1000,A10,'Votes (table)'!$E$2:$E$1000,"blanc")</f>
        <v>0</v>
      </c>
      <c r="F10" s="8" t="n">
        <f aca="false">SUM(C10:E10)</f>
        <v>0</v>
      </c>
    </row>
    <row r="11" customFormat="false" ht="15" hidden="false" customHeight="false" outlineLevel="0" collapsed="false">
      <c r="A11" s="9" t="n">
        <v>46297</v>
      </c>
      <c r="B11" s="8" t="str">
        <f aca="false">T(INDEX('Vote du jour'!$F$2:$F$223,MATCH(A11,'Vote du jour'!$B$2:$B$223,0)))</f>
        <v/>
      </c>
      <c r="C11" s="8" t="n">
        <f aca="false">COUNTIFS('Votes (table)'!$C$2:$C$1000,A11,'Votes (table)'!$E$2:$E$1000,"oui")</f>
        <v>0</v>
      </c>
      <c r="D11" s="8" t="n">
        <f aca="false">COUNTIFS('Votes (table)'!$C$2:$C$1000,A11,'Votes (table)'!$E$2:$E$1000,"non")</f>
        <v>0</v>
      </c>
      <c r="E11" s="8" t="n">
        <f aca="false">COUNTIFS('Votes (table)'!$C$2:$C$1000,A11,'Votes (table)'!$E$2:$E$1000,"blanc")</f>
        <v>0</v>
      </c>
      <c r="F11" s="8" t="n">
        <f aca="false">SUM(C11:E11)</f>
        <v>0</v>
      </c>
    </row>
    <row r="12" customFormat="false" ht="15" hidden="false" customHeight="false" outlineLevel="0" collapsed="false">
      <c r="A12" s="9" t="n">
        <v>46298</v>
      </c>
      <c r="B12" s="8" t="str">
        <f aca="false">T(INDEX('Vote du jour'!$F$2:$F$223,MATCH(A12,'Vote du jour'!$B$2:$B$223,0)))</f>
        <v/>
      </c>
      <c r="C12" s="8" t="n">
        <f aca="false">COUNTIFS('Votes (table)'!$C$2:$C$1000,A12,'Votes (table)'!$E$2:$E$1000,"oui")</f>
        <v>0</v>
      </c>
      <c r="D12" s="8" t="n">
        <f aca="false">COUNTIFS('Votes (table)'!$C$2:$C$1000,A12,'Votes (table)'!$E$2:$E$1000,"non")</f>
        <v>0</v>
      </c>
      <c r="E12" s="8" t="n">
        <f aca="false">COUNTIFS('Votes (table)'!$C$2:$C$1000,A12,'Votes (table)'!$E$2:$E$1000,"blanc")</f>
        <v>0</v>
      </c>
      <c r="F12" s="8" t="n">
        <f aca="false">SUM(C12:E12)</f>
        <v>0</v>
      </c>
    </row>
    <row r="13" customFormat="false" ht="15" hidden="false" customHeight="false" outlineLevel="0" collapsed="false">
      <c r="A13" s="9" t="n">
        <v>46299</v>
      </c>
      <c r="B13" s="8" t="str">
        <f aca="false">T(INDEX('Vote du jour'!$F$2:$F$223,MATCH(A13,'Vote du jour'!$B$2:$B$223,0)))</f>
        <v/>
      </c>
      <c r="C13" s="8" t="n">
        <f aca="false">COUNTIFS('Votes (table)'!$C$2:$C$1000,A13,'Votes (table)'!$E$2:$E$1000,"oui")</f>
        <v>0</v>
      </c>
      <c r="D13" s="8" t="n">
        <f aca="false">COUNTIFS('Votes (table)'!$C$2:$C$1000,A13,'Votes (table)'!$E$2:$E$1000,"non")</f>
        <v>0</v>
      </c>
      <c r="E13" s="8" t="n">
        <f aca="false">COUNTIFS('Votes (table)'!$C$2:$C$1000,A13,'Votes (table)'!$E$2:$E$1000,"blanc")</f>
        <v>0</v>
      </c>
      <c r="F13" s="8" t="n">
        <f aca="false">SUM(C13:E13)</f>
        <v>0</v>
      </c>
    </row>
    <row r="14" customFormat="false" ht="15" hidden="false" customHeight="false" outlineLevel="0" collapsed="false">
      <c r="A14" s="9" t="n">
        <v>46300</v>
      </c>
      <c r="B14" s="8" t="str">
        <f aca="false">T(INDEX('Vote du jour'!$F$2:$F$223,MATCH(A14,'Vote du jour'!$B$2:$B$223,0)))</f>
        <v/>
      </c>
      <c r="C14" s="8" t="n">
        <f aca="false">COUNTIFS('Votes (table)'!$C$2:$C$1000,A14,'Votes (table)'!$E$2:$E$1000,"oui")</f>
        <v>0</v>
      </c>
      <c r="D14" s="8" t="n">
        <f aca="false">COUNTIFS('Votes (table)'!$C$2:$C$1000,A14,'Votes (table)'!$E$2:$E$1000,"non")</f>
        <v>0</v>
      </c>
      <c r="E14" s="8" t="n">
        <f aca="false">COUNTIFS('Votes (table)'!$C$2:$C$1000,A14,'Votes (table)'!$E$2:$E$1000,"blanc")</f>
        <v>0</v>
      </c>
      <c r="F14" s="8" t="n">
        <f aca="false">SUM(C14:E14)</f>
        <v>0</v>
      </c>
    </row>
    <row r="15" customFormat="false" ht="15" hidden="false" customHeight="false" outlineLevel="0" collapsed="false">
      <c r="A15" s="9" t="n">
        <v>46301</v>
      </c>
      <c r="B15" s="8" t="str">
        <f aca="false">T(INDEX('Vote du jour'!$F$2:$F$223,MATCH(A15,'Vote du jour'!$B$2:$B$223,0)))</f>
        <v/>
      </c>
      <c r="C15" s="8" t="n">
        <f aca="false">COUNTIFS('Votes (table)'!$C$2:$C$1000,A15,'Votes (table)'!$E$2:$E$1000,"oui")</f>
        <v>0</v>
      </c>
      <c r="D15" s="8" t="n">
        <f aca="false">COUNTIFS('Votes (table)'!$C$2:$C$1000,A15,'Votes (table)'!$E$2:$E$1000,"non")</f>
        <v>0</v>
      </c>
      <c r="E15" s="8" t="n">
        <f aca="false">COUNTIFS('Votes (table)'!$C$2:$C$1000,A15,'Votes (table)'!$E$2:$E$1000,"blanc")</f>
        <v>0</v>
      </c>
      <c r="F15" s="8" t="n">
        <f aca="false">SUM(C15:E15)</f>
        <v>0</v>
      </c>
    </row>
    <row r="16" customFormat="false" ht="15" hidden="false" customHeight="false" outlineLevel="0" collapsed="false">
      <c r="A16" s="9" t="n">
        <v>46302</v>
      </c>
      <c r="B16" s="8" t="str">
        <f aca="false">T(INDEX('Vote du jour'!$F$2:$F$223,MATCH(A16,'Vote du jour'!$B$2:$B$223,0)))</f>
        <v/>
      </c>
      <c r="C16" s="8" t="n">
        <f aca="false">COUNTIFS('Votes (table)'!$C$2:$C$1000,A16,'Votes (table)'!$E$2:$E$1000,"oui")</f>
        <v>0</v>
      </c>
      <c r="D16" s="8" t="n">
        <f aca="false">COUNTIFS('Votes (table)'!$C$2:$C$1000,A16,'Votes (table)'!$E$2:$E$1000,"non")</f>
        <v>0</v>
      </c>
      <c r="E16" s="8" t="n">
        <f aca="false">COUNTIFS('Votes (table)'!$C$2:$C$1000,A16,'Votes (table)'!$E$2:$E$1000,"blanc")</f>
        <v>0</v>
      </c>
      <c r="F16" s="8" t="n">
        <f aca="false">SUM(C16:E16)</f>
        <v>0</v>
      </c>
    </row>
    <row r="17" customFormat="false" ht="15" hidden="false" customHeight="false" outlineLevel="0" collapsed="false">
      <c r="A17" s="9" t="n">
        <v>46303</v>
      </c>
      <c r="B17" s="8" t="str">
        <f aca="false">T(INDEX('Vote du jour'!$F$2:$F$223,MATCH(A17,'Vote du jour'!$B$2:$B$223,0)))</f>
        <v/>
      </c>
      <c r="C17" s="8" t="n">
        <f aca="false">COUNTIFS('Votes (table)'!$C$2:$C$1000,A17,'Votes (table)'!$E$2:$E$1000,"oui")</f>
        <v>0</v>
      </c>
      <c r="D17" s="8" t="n">
        <f aca="false">COUNTIFS('Votes (table)'!$C$2:$C$1000,A17,'Votes (table)'!$E$2:$E$1000,"non")</f>
        <v>0</v>
      </c>
      <c r="E17" s="8" t="n">
        <f aca="false">COUNTIFS('Votes (table)'!$C$2:$C$1000,A17,'Votes (table)'!$E$2:$E$1000,"blanc")</f>
        <v>0</v>
      </c>
      <c r="F17" s="8" t="n">
        <f aca="false">SUM(C17:E17)</f>
        <v>0</v>
      </c>
    </row>
    <row r="18" customFormat="false" ht="15" hidden="false" customHeight="false" outlineLevel="0" collapsed="false">
      <c r="A18" s="9" t="n">
        <v>46304</v>
      </c>
      <c r="B18" s="8" t="str">
        <f aca="false">T(INDEX('Vote du jour'!$F$2:$F$223,MATCH(A18,'Vote du jour'!$B$2:$B$223,0)))</f>
        <v/>
      </c>
      <c r="C18" s="8" t="n">
        <f aca="false">COUNTIFS('Votes (table)'!$C$2:$C$1000,A18,'Votes (table)'!$E$2:$E$1000,"oui")</f>
        <v>0</v>
      </c>
      <c r="D18" s="8" t="n">
        <f aca="false">COUNTIFS('Votes (table)'!$C$2:$C$1000,A18,'Votes (table)'!$E$2:$E$1000,"non")</f>
        <v>0</v>
      </c>
      <c r="E18" s="8" t="n">
        <f aca="false">COUNTIFS('Votes (table)'!$C$2:$C$1000,A18,'Votes (table)'!$E$2:$E$1000,"blanc")</f>
        <v>0</v>
      </c>
      <c r="F18" s="8" t="n">
        <f aca="false">SUM(C18:E18)</f>
        <v>0</v>
      </c>
    </row>
    <row r="19" customFormat="false" ht="15" hidden="false" customHeight="false" outlineLevel="0" collapsed="false">
      <c r="A19" s="9" t="n">
        <v>46305</v>
      </c>
      <c r="B19" s="8" t="str">
        <f aca="false">T(INDEX('Vote du jour'!$F$2:$F$223,MATCH(A19,'Vote du jour'!$B$2:$B$223,0)))</f>
        <v/>
      </c>
      <c r="C19" s="8" t="n">
        <f aca="false">COUNTIFS('Votes (table)'!$C$2:$C$1000,A19,'Votes (table)'!$E$2:$E$1000,"oui")</f>
        <v>0</v>
      </c>
      <c r="D19" s="8" t="n">
        <f aca="false">COUNTIFS('Votes (table)'!$C$2:$C$1000,A19,'Votes (table)'!$E$2:$E$1000,"non")</f>
        <v>0</v>
      </c>
      <c r="E19" s="8" t="n">
        <f aca="false">COUNTIFS('Votes (table)'!$C$2:$C$1000,A19,'Votes (table)'!$E$2:$E$1000,"blanc")</f>
        <v>0</v>
      </c>
      <c r="F19" s="8" t="n">
        <f aca="false">SUM(C19:E19)</f>
        <v>0</v>
      </c>
    </row>
    <row r="20" customFormat="false" ht="15" hidden="false" customHeight="false" outlineLevel="0" collapsed="false">
      <c r="A20" s="9" t="n">
        <v>46306</v>
      </c>
      <c r="B20" s="8" t="str">
        <f aca="false">T(INDEX('Vote du jour'!$F$2:$F$223,MATCH(A20,'Vote du jour'!$B$2:$B$223,0)))</f>
        <v/>
      </c>
      <c r="C20" s="8" t="n">
        <f aca="false">COUNTIFS('Votes (table)'!$C$2:$C$1000,A20,'Votes (table)'!$E$2:$E$1000,"oui")</f>
        <v>0</v>
      </c>
      <c r="D20" s="8" t="n">
        <f aca="false">COUNTIFS('Votes (table)'!$C$2:$C$1000,A20,'Votes (table)'!$E$2:$E$1000,"non")</f>
        <v>0</v>
      </c>
      <c r="E20" s="8" t="n">
        <f aca="false">COUNTIFS('Votes (table)'!$C$2:$C$1000,A20,'Votes (table)'!$E$2:$E$1000,"blanc")</f>
        <v>0</v>
      </c>
      <c r="F20" s="8" t="n">
        <f aca="false">SUM(C20:E20)</f>
        <v>0</v>
      </c>
    </row>
    <row r="21" customFormat="false" ht="15" hidden="false" customHeight="false" outlineLevel="0" collapsed="false">
      <c r="A21" s="9" t="n">
        <v>46307</v>
      </c>
      <c r="B21" s="8" t="str">
        <f aca="false">T(INDEX('Vote du jour'!$F$2:$F$223,MATCH(A21,'Vote du jour'!$B$2:$B$223,0)))</f>
        <v/>
      </c>
      <c r="C21" s="8" t="n">
        <f aca="false">COUNTIFS('Votes (table)'!$C$2:$C$1000,A21,'Votes (table)'!$E$2:$E$1000,"oui")</f>
        <v>0</v>
      </c>
      <c r="D21" s="8" t="n">
        <f aca="false">COUNTIFS('Votes (table)'!$C$2:$C$1000,A21,'Votes (table)'!$E$2:$E$1000,"non")</f>
        <v>0</v>
      </c>
      <c r="E21" s="8" t="n">
        <f aca="false">COUNTIFS('Votes (table)'!$C$2:$C$1000,A21,'Votes (table)'!$E$2:$E$1000,"blanc")</f>
        <v>0</v>
      </c>
      <c r="F21" s="8" t="n">
        <f aca="false">SUM(C21:E21)</f>
        <v>0</v>
      </c>
    </row>
    <row r="22" customFormat="false" ht="15" hidden="false" customHeight="false" outlineLevel="0" collapsed="false">
      <c r="A22" s="9" t="n">
        <v>46308</v>
      </c>
      <c r="B22" s="8" t="str">
        <f aca="false">T(INDEX('Vote du jour'!$F$2:$F$223,MATCH(A22,'Vote du jour'!$B$2:$B$223,0)))</f>
        <v/>
      </c>
      <c r="C22" s="8" t="n">
        <f aca="false">COUNTIFS('Votes (table)'!$C$2:$C$1000,A22,'Votes (table)'!$E$2:$E$1000,"oui")</f>
        <v>0</v>
      </c>
      <c r="D22" s="8" t="n">
        <f aca="false">COUNTIFS('Votes (table)'!$C$2:$C$1000,A22,'Votes (table)'!$E$2:$E$1000,"non")</f>
        <v>0</v>
      </c>
      <c r="E22" s="8" t="n">
        <f aca="false">COUNTIFS('Votes (table)'!$C$2:$C$1000,A22,'Votes (table)'!$E$2:$E$1000,"blanc")</f>
        <v>0</v>
      </c>
      <c r="F22" s="8" t="n">
        <f aca="false">SUM(C22:E22)</f>
        <v>0</v>
      </c>
    </row>
    <row r="23" customFormat="false" ht="15" hidden="false" customHeight="false" outlineLevel="0" collapsed="false">
      <c r="A23" s="9" t="n">
        <v>46309</v>
      </c>
      <c r="B23" s="8" t="str">
        <f aca="false">T(INDEX('Vote du jour'!$F$2:$F$223,MATCH(A23,'Vote du jour'!$B$2:$B$223,0)))</f>
        <v/>
      </c>
      <c r="C23" s="8" t="n">
        <f aca="false">COUNTIFS('Votes (table)'!$C$2:$C$1000,A23,'Votes (table)'!$E$2:$E$1000,"oui")</f>
        <v>0</v>
      </c>
      <c r="D23" s="8" t="n">
        <f aca="false">COUNTIFS('Votes (table)'!$C$2:$C$1000,A23,'Votes (table)'!$E$2:$E$1000,"non")</f>
        <v>0</v>
      </c>
      <c r="E23" s="8" t="n">
        <f aca="false">COUNTIFS('Votes (table)'!$C$2:$C$1000,A23,'Votes (table)'!$E$2:$E$1000,"blanc")</f>
        <v>0</v>
      </c>
      <c r="F23" s="8" t="n">
        <f aca="false">SUM(C23:E23)</f>
        <v>0</v>
      </c>
    </row>
    <row r="24" customFormat="false" ht="15" hidden="false" customHeight="false" outlineLevel="0" collapsed="false">
      <c r="A24" s="9" t="n">
        <v>46310</v>
      </c>
      <c r="B24" s="8" t="str">
        <f aca="false">T(INDEX('Vote du jour'!$F$2:$F$223,MATCH(A24,'Vote du jour'!$B$2:$B$223,0)))</f>
        <v/>
      </c>
      <c r="C24" s="8" t="n">
        <f aca="false">COUNTIFS('Votes (table)'!$C$2:$C$1000,A24,'Votes (table)'!$E$2:$E$1000,"oui")</f>
        <v>0</v>
      </c>
      <c r="D24" s="8" t="n">
        <f aca="false">COUNTIFS('Votes (table)'!$C$2:$C$1000,A24,'Votes (table)'!$E$2:$E$1000,"non")</f>
        <v>0</v>
      </c>
      <c r="E24" s="8" t="n">
        <f aca="false">COUNTIFS('Votes (table)'!$C$2:$C$1000,A24,'Votes (table)'!$E$2:$E$1000,"blanc")</f>
        <v>0</v>
      </c>
      <c r="F24" s="8" t="n">
        <f aca="false">SUM(C24:E24)</f>
        <v>0</v>
      </c>
    </row>
    <row r="25" customFormat="false" ht="15" hidden="false" customHeight="false" outlineLevel="0" collapsed="false">
      <c r="A25" s="9" t="n">
        <v>46311</v>
      </c>
      <c r="B25" s="8" t="str">
        <f aca="false">T(INDEX('Vote du jour'!$F$2:$F$223,MATCH(A25,'Vote du jour'!$B$2:$B$223,0)))</f>
        <v/>
      </c>
      <c r="C25" s="8" t="n">
        <f aca="false">COUNTIFS('Votes (table)'!$C$2:$C$1000,A25,'Votes (table)'!$E$2:$E$1000,"oui")</f>
        <v>0</v>
      </c>
      <c r="D25" s="8" t="n">
        <f aca="false">COUNTIFS('Votes (table)'!$C$2:$C$1000,A25,'Votes (table)'!$E$2:$E$1000,"non")</f>
        <v>0</v>
      </c>
      <c r="E25" s="8" t="n">
        <f aca="false">COUNTIFS('Votes (table)'!$C$2:$C$1000,A25,'Votes (table)'!$E$2:$E$1000,"blanc")</f>
        <v>0</v>
      </c>
      <c r="F25" s="8" t="n">
        <f aca="false">SUM(C25:E25)</f>
        <v>0</v>
      </c>
    </row>
    <row r="26" customFormat="false" ht="15" hidden="false" customHeight="false" outlineLevel="0" collapsed="false">
      <c r="A26" s="9" t="n">
        <v>46312</v>
      </c>
      <c r="B26" s="8" t="str">
        <f aca="false">T(INDEX('Vote du jour'!$F$2:$F$223,MATCH(A26,'Vote du jour'!$B$2:$B$223,0)))</f>
        <v/>
      </c>
      <c r="C26" s="8" t="n">
        <f aca="false">COUNTIFS('Votes (table)'!$C$2:$C$1000,A26,'Votes (table)'!$E$2:$E$1000,"oui")</f>
        <v>0</v>
      </c>
      <c r="D26" s="8" t="n">
        <f aca="false">COUNTIFS('Votes (table)'!$C$2:$C$1000,A26,'Votes (table)'!$E$2:$E$1000,"non")</f>
        <v>0</v>
      </c>
      <c r="E26" s="8" t="n">
        <f aca="false">COUNTIFS('Votes (table)'!$C$2:$C$1000,A26,'Votes (table)'!$E$2:$E$1000,"blanc")</f>
        <v>0</v>
      </c>
      <c r="F26" s="8" t="n">
        <f aca="false">SUM(C26:E26)</f>
        <v>0</v>
      </c>
    </row>
    <row r="27" customFormat="false" ht="15" hidden="false" customHeight="false" outlineLevel="0" collapsed="false">
      <c r="A27" s="9" t="n">
        <v>46313</v>
      </c>
      <c r="B27" s="8" t="str">
        <f aca="false">T(INDEX('Vote du jour'!$F$2:$F$223,MATCH(A27,'Vote du jour'!$B$2:$B$223,0)))</f>
        <v/>
      </c>
      <c r="C27" s="8" t="n">
        <f aca="false">COUNTIFS('Votes (table)'!$C$2:$C$1000,A27,'Votes (table)'!$E$2:$E$1000,"oui")</f>
        <v>0</v>
      </c>
      <c r="D27" s="8" t="n">
        <f aca="false">COUNTIFS('Votes (table)'!$C$2:$C$1000,A27,'Votes (table)'!$E$2:$E$1000,"non")</f>
        <v>0</v>
      </c>
      <c r="E27" s="8" t="n">
        <f aca="false">COUNTIFS('Votes (table)'!$C$2:$C$1000,A27,'Votes (table)'!$E$2:$E$1000,"blanc")</f>
        <v>0</v>
      </c>
      <c r="F27" s="8" t="n">
        <f aca="false">SUM(C27:E27)</f>
        <v>0</v>
      </c>
    </row>
    <row r="28" customFormat="false" ht="15" hidden="false" customHeight="false" outlineLevel="0" collapsed="false">
      <c r="A28" s="9" t="n">
        <v>46314</v>
      </c>
      <c r="B28" s="8" t="str">
        <f aca="false">T(INDEX('Vote du jour'!$F$2:$F$223,MATCH(A28,'Vote du jour'!$B$2:$B$223,0)))</f>
        <v/>
      </c>
      <c r="C28" s="8" t="n">
        <f aca="false">COUNTIFS('Votes (table)'!$C$2:$C$1000,A28,'Votes (table)'!$E$2:$E$1000,"oui")</f>
        <v>0</v>
      </c>
      <c r="D28" s="8" t="n">
        <f aca="false">COUNTIFS('Votes (table)'!$C$2:$C$1000,A28,'Votes (table)'!$E$2:$E$1000,"non")</f>
        <v>0</v>
      </c>
      <c r="E28" s="8" t="n">
        <f aca="false">COUNTIFS('Votes (table)'!$C$2:$C$1000,A28,'Votes (table)'!$E$2:$E$1000,"blanc")</f>
        <v>0</v>
      </c>
      <c r="F28" s="8" t="n">
        <f aca="false">SUM(C28:E28)</f>
        <v>0</v>
      </c>
    </row>
    <row r="29" customFormat="false" ht="15" hidden="false" customHeight="false" outlineLevel="0" collapsed="false">
      <c r="A29" s="9" t="n">
        <v>46315</v>
      </c>
      <c r="B29" s="8" t="str">
        <f aca="false">T(INDEX('Vote du jour'!$F$2:$F$223,MATCH(A29,'Vote du jour'!$B$2:$B$223,0)))</f>
        <v/>
      </c>
      <c r="C29" s="8" t="n">
        <f aca="false">COUNTIFS('Votes (table)'!$C$2:$C$1000,A29,'Votes (table)'!$E$2:$E$1000,"oui")</f>
        <v>0</v>
      </c>
      <c r="D29" s="8" t="n">
        <f aca="false">COUNTIFS('Votes (table)'!$C$2:$C$1000,A29,'Votes (table)'!$E$2:$E$1000,"non")</f>
        <v>0</v>
      </c>
      <c r="E29" s="8" t="n">
        <f aca="false">COUNTIFS('Votes (table)'!$C$2:$C$1000,A29,'Votes (table)'!$E$2:$E$1000,"blanc")</f>
        <v>0</v>
      </c>
      <c r="F29" s="8" t="n">
        <f aca="false">SUM(C29:E29)</f>
        <v>0</v>
      </c>
    </row>
    <row r="30" customFormat="false" ht="15" hidden="false" customHeight="false" outlineLevel="0" collapsed="false">
      <c r="A30" s="9" t="n">
        <v>46316</v>
      </c>
      <c r="B30" s="8" t="str">
        <f aca="false">T(INDEX('Vote du jour'!$F$2:$F$223,MATCH(A30,'Vote du jour'!$B$2:$B$223,0)))</f>
        <v/>
      </c>
      <c r="C30" s="8" t="n">
        <f aca="false">COUNTIFS('Votes (table)'!$C$2:$C$1000,A30,'Votes (table)'!$E$2:$E$1000,"oui")</f>
        <v>0</v>
      </c>
      <c r="D30" s="8" t="n">
        <f aca="false">COUNTIFS('Votes (table)'!$C$2:$C$1000,A30,'Votes (table)'!$E$2:$E$1000,"non")</f>
        <v>0</v>
      </c>
      <c r="E30" s="8" t="n">
        <f aca="false">COUNTIFS('Votes (table)'!$C$2:$C$1000,A30,'Votes (table)'!$E$2:$E$1000,"blanc")</f>
        <v>0</v>
      </c>
      <c r="F30" s="8" t="n">
        <f aca="false">SUM(C30:E30)</f>
        <v>0</v>
      </c>
    </row>
    <row r="31" customFormat="false" ht="15" hidden="false" customHeight="false" outlineLevel="0" collapsed="false">
      <c r="A31" s="9" t="n">
        <v>46317</v>
      </c>
      <c r="B31" s="8" t="str">
        <f aca="false">T(INDEX('Vote du jour'!$F$2:$F$223,MATCH(A31,'Vote du jour'!$B$2:$B$223,0)))</f>
        <v/>
      </c>
      <c r="C31" s="8" t="n">
        <f aca="false">COUNTIFS('Votes (table)'!$C$2:$C$1000,A31,'Votes (table)'!$E$2:$E$1000,"oui")</f>
        <v>0</v>
      </c>
      <c r="D31" s="8" t="n">
        <f aca="false">COUNTIFS('Votes (table)'!$C$2:$C$1000,A31,'Votes (table)'!$E$2:$E$1000,"non")</f>
        <v>0</v>
      </c>
      <c r="E31" s="8" t="n">
        <f aca="false">COUNTIFS('Votes (table)'!$C$2:$C$1000,A31,'Votes (table)'!$E$2:$E$1000,"blanc")</f>
        <v>0</v>
      </c>
      <c r="F31" s="8" t="n">
        <f aca="false">SUM(C31:E31)</f>
        <v>0</v>
      </c>
    </row>
    <row r="32" customFormat="false" ht="15" hidden="false" customHeight="false" outlineLevel="0" collapsed="false">
      <c r="A32" s="9" t="n">
        <v>46318</v>
      </c>
      <c r="B32" s="8" t="str">
        <f aca="false">T(INDEX('Vote du jour'!$F$2:$F$223,MATCH(A32,'Vote du jour'!$B$2:$B$223,0)))</f>
        <v/>
      </c>
      <c r="C32" s="8" t="n">
        <f aca="false">COUNTIFS('Votes (table)'!$C$2:$C$1000,A32,'Votes (table)'!$E$2:$E$1000,"oui")</f>
        <v>0</v>
      </c>
      <c r="D32" s="8" t="n">
        <f aca="false">COUNTIFS('Votes (table)'!$C$2:$C$1000,A32,'Votes (table)'!$E$2:$E$1000,"non")</f>
        <v>0</v>
      </c>
      <c r="E32" s="8" t="n">
        <f aca="false">COUNTIFS('Votes (table)'!$C$2:$C$1000,A32,'Votes (table)'!$E$2:$E$1000,"blanc")</f>
        <v>0</v>
      </c>
      <c r="F32" s="8" t="n">
        <f aca="false">SUM(C32:E32)</f>
        <v>0</v>
      </c>
    </row>
    <row r="33" customFormat="false" ht="15" hidden="false" customHeight="false" outlineLevel="0" collapsed="false">
      <c r="A33" s="9" t="n">
        <v>46319</v>
      </c>
      <c r="B33" s="8" t="str">
        <f aca="false">T(INDEX('Vote du jour'!$F$2:$F$223,MATCH(A33,'Vote du jour'!$B$2:$B$223,0)))</f>
        <v/>
      </c>
      <c r="C33" s="8" t="n">
        <f aca="false">COUNTIFS('Votes (table)'!$C$2:$C$1000,A33,'Votes (table)'!$E$2:$E$1000,"oui")</f>
        <v>0</v>
      </c>
      <c r="D33" s="8" t="n">
        <f aca="false">COUNTIFS('Votes (table)'!$C$2:$C$1000,A33,'Votes (table)'!$E$2:$E$1000,"non")</f>
        <v>0</v>
      </c>
      <c r="E33" s="8" t="n">
        <f aca="false">COUNTIFS('Votes (table)'!$C$2:$C$1000,A33,'Votes (table)'!$E$2:$E$1000,"blanc")</f>
        <v>0</v>
      </c>
      <c r="F33" s="8" t="n">
        <f aca="false">SUM(C33:E33)</f>
        <v>0</v>
      </c>
    </row>
    <row r="34" customFormat="false" ht="15" hidden="false" customHeight="false" outlineLevel="0" collapsed="false">
      <c r="A34" s="9" t="n">
        <v>46320</v>
      </c>
      <c r="B34" s="8" t="str">
        <f aca="false">T(INDEX('Vote du jour'!$F$2:$F$223,MATCH(A34,'Vote du jour'!$B$2:$B$223,0)))</f>
        <v/>
      </c>
      <c r="C34" s="8" t="n">
        <f aca="false">COUNTIFS('Votes (table)'!$C$2:$C$1000,A34,'Votes (table)'!$E$2:$E$1000,"oui")</f>
        <v>0</v>
      </c>
      <c r="D34" s="8" t="n">
        <f aca="false">COUNTIFS('Votes (table)'!$C$2:$C$1000,A34,'Votes (table)'!$E$2:$E$1000,"non")</f>
        <v>0</v>
      </c>
      <c r="E34" s="8" t="n">
        <f aca="false">COUNTIFS('Votes (table)'!$C$2:$C$1000,A34,'Votes (table)'!$E$2:$E$1000,"blanc")</f>
        <v>0</v>
      </c>
      <c r="F34" s="8" t="n">
        <f aca="false">SUM(C34:E34)</f>
        <v>0</v>
      </c>
    </row>
    <row r="35" customFormat="false" ht="15" hidden="false" customHeight="false" outlineLevel="0" collapsed="false">
      <c r="A35" s="9" t="n">
        <v>46321</v>
      </c>
      <c r="B35" s="8" t="str">
        <f aca="false">T(INDEX('Vote du jour'!$F$2:$F$223,MATCH(A35,'Vote du jour'!$B$2:$B$223,0)))</f>
        <v/>
      </c>
      <c r="C35" s="8" t="n">
        <f aca="false">COUNTIFS('Votes (table)'!$C$2:$C$1000,A35,'Votes (table)'!$E$2:$E$1000,"oui")</f>
        <v>0</v>
      </c>
      <c r="D35" s="8" t="n">
        <f aca="false">COUNTIFS('Votes (table)'!$C$2:$C$1000,A35,'Votes (table)'!$E$2:$E$1000,"non")</f>
        <v>0</v>
      </c>
      <c r="E35" s="8" t="n">
        <f aca="false">COUNTIFS('Votes (table)'!$C$2:$C$1000,A35,'Votes (table)'!$E$2:$E$1000,"blanc")</f>
        <v>0</v>
      </c>
      <c r="F35" s="8" t="n">
        <f aca="false">SUM(C35:E35)</f>
        <v>0</v>
      </c>
    </row>
    <row r="36" customFormat="false" ht="15" hidden="false" customHeight="false" outlineLevel="0" collapsed="false">
      <c r="A36" s="9" t="n">
        <v>46322</v>
      </c>
      <c r="B36" s="8" t="str">
        <f aca="false">T(INDEX('Vote du jour'!$F$2:$F$223,MATCH(A36,'Vote du jour'!$B$2:$B$223,0)))</f>
        <v/>
      </c>
      <c r="C36" s="8" t="n">
        <f aca="false">COUNTIFS('Votes (table)'!$C$2:$C$1000,A36,'Votes (table)'!$E$2:$E$1000,"oui")</f>
        <v>0</v>
      </c>
      <c r="D36" s="8" t="n">
        <f aca="false">COUNTIFS('Votes (table)'!$C$2:$C$1000,A36,'Votes (table)'!$E$2:$E$1000,"non")</f>
        <v>0</v>
      </c>
      <c r="E36" s="8" t="n">
        <f aca="false">COUNTIFS('Votes (table)'!$C$2:$C$1000,A36,'Votes (table)'!$E$2:$E$1000,"blanc")</f>
        <v>0</v>
      </c>
      <c r="F36" s="8" t="n">
        <f aca="false">SUM(C36:E36)</f>
        <v>0</v>
      </c>
    </row>
    <row r="37" customFormat="false" ht="15" hidden="false" customHeight="false" outlineLevel="0" collapsed="false">
      <c r="A37" s="9" t="n">
        <v>46323</v>
      </c>
      <c r="B37" s="8" t="str">
        <f aca="false">T(INDEX('Vote du jour'!$F$2:$F$223,MATCH(A37,'Vote du jour'!$B$2:$B$223,0)))</f>
        <v/>
      </c>
      <c r="C37" s="8" t="n">
        <f aca="false">COUNTIFS('Votes (table)'!$C$2:$C$1000,A37,'Votes (table)'!$E$2:$E$1000,"oui")</f>
        <v>0</v>
      </c>
      <c r="D37" s="8" t="n">
        <f aca="false">COUNTIFS('Votes (table)'!$C$2:$C$1000,A37,'Votes (table)'!$E$2:$E$1000,"non")</f>
        <v>0</v>
      </c>
      <c r="E37" s="8" t="n">
        <f aca="false">COUNTIFS('Votes (table)'!$C$2:$C$1000,A37,'Votes (table)'!$E$2:$E$1000,"blanc")</f>
        <v>0</v>
      </c>
      <c r="F37" s="8" t="n">
        <f aca="false">SUM(C37:E37)</f>
        <v>0</v>
      </c>
    </row>
    <row r="38" customFormat="false" ht="15" hidden="false" customHeight="false" outlineLevel="0" collapsed="false">
      <c r="A38" s="9" t="n">
        <v>46324</v>
      </c>
      <c r="B38" s="8" t="str">
        <f aca="false">T(INDEX('Vote du jour'!$F$2:$F$223,MATCH(A38,'Vote du jour'!$B$2:$B$223,0)))</f>
        <v/>
      </c>
      <c r="C38" s="8" t="n">
        <f aca="false">COUNTIFS('Votes (table)'!$C$2:$C$1000,A38,'Votes (table)'!$E$2:$E$1000,"oui")</f>
        <v>0</v>
      </c>
      <c r="D38" s="8" t="n">
        <f aca="false">COUNTIFS('Votes (table)'!$C$2:$C$1000,A38,'Votes (table)'!$E$2:$E$1000,"non")</f>
        <v>0</v>
      </c>
      <c r="E38" s="8" t="n">
        <f aca="false">COUNTIFS('Votes (table)'!$C$2:$C$1000,A38,'Votes (table)'!$E$2:$E$1000,"blanc")</f>
        <v>0</v>
      </c>
      <c r="F38" s="8" t="n">
        <f aca="false">SUM(C38:E38)</f>
        <v>0</v>
      </c>
    </row>
    <row r="39" customFormat="false" ht="15" hidden="false" customHeight="false" outlineLevel="0" collapsed="false">
      <c r="A39" s="9" t="n">
        <v>46325</v>
      </c>
      <c r="B39" s="8" t="str">
        <f aca="false">T(INDEX('Vote du jour'!$F$2:$F$223,MATCH(A39,'Vote du jour'!$B$2:$B$223,0)))</f>
        <v/>
      </c>
      <c r="C39" s="8" t="n">
        <f aca="false">COUNTIFS('Votes (table)'!$C$2:$C$1000,A39,'Votes (table)'!$E$2:$E$1000,"oui")</f>
        <v>0</v>
      </c>
      <c r="D39" s="8" t="n">
        <f aca="false">COUNTIFS('Votes (table)'!$C$2:$C$1000,A39,'Votes (table)'!$E$2:$E$1000,"non")</f>
        <v>0</v>
      </c>
      <c r="E39" s="8" t="n">
        <f aca="false">COUNTIFS('Votes (table)'!$C$2:$C$1000,A39,'Votes (table)'!$E$2:$E$1000,"blanc")</f>
        <v>0</v>
      </c>
      <c r="F39" s="8" t="n">
        <f aca="false">SUM(C39:E39)</f>
        <v>0</v>
      </c>
    </row>
    <row r="40" customFormat="false" ht="15" hidden="false" customHeight="false" outlineLevel="0" collapsed="false">
      <c r="A40" s="9" t="n">
        <v>46326</v>
      </c>
      <c r="B40" s="8" t="str">
        <f aca="false">T(INDEX('Vote du jour'!$F$2:$F$223,MATCH(A40,'Vote du jour'!$B$2:$B$223,0)))</f>
        <v/>
      </c>
      <c r="C40" s="8" t="n">
        <f aca="false">COUNTIFS('Votes (table)'!$C$2:$C$1000,A40,'Votes (table)'!$E$2:$E$1000,"oui")</f>
        <v>0</v>
      </c>
      <c r="D40" s="8" t="n">
        <f aca="false">COUNTIFS('Votes (table)'!$C$2:$C$1000,A40,'Votes (table)'!$E$2:$E$1000,"non")</f>
        <v>0</v>
      </c>
      <c r="E40" s="8" t="n">
        <f aca="false">COUNTIFS('Votes (table)'!$C$2:$C$1000,A40,'Votes (table)'!$E$2:$E$1000,"blanc")</f>
        <v>0</v>
      </c>
      <c r="F40" s="8" t="n">
        <f aca="false">SUM(C40:E40)</f>
        <v>0</v>
      </c>
    </row>
    <row r="41" customFormat="false" ht="15" hidden="false" customHeight="false" outlineLevel="0" collapsed="false">
      <c r="A41" s="9" t="n">
        <v>46327</v>
      </c>
      <c r="B41" s="8" t="str">
        <f aca="false">T(INDEX('Vote du jour'!$F$2:$F$223,MATCH(A41,'Vote du jour'!$B$2:$B$223,0)))</f>
        <v/>
      </c>
      <c r="C41" s="8" t="n">
        <f aca="false">COUNTIFS('Votes (table)'!$C$2:$C$1000,A41,'Votes (table)'!$E$2:$E$1000,"oui")</f>
        <v>0</v>
      </c>
      <c r="D41" s="8" t="n">
        <f aca="false">COUNTIFS('Votes (table)'!$C$2:$C$1000,A41,'Votes (table)'!$E$2:$E$1000,"non")</f>
        <v>0</v>
      </c>
      <c r="E41" s="8" t="n">
        <f aca="false">COUNTIFS('Votes (table)'!$C$2:$C$1000,A41,'Votes (table)'!$E$2:$E$1000,"blanc")</f>
        <v>0</v>
      </c>
      <c r="F41" s="8" t="n">
        <f aca="false">SUM(C41:E41)</f>
        <v>0</v>
      </c>
    </row>
    <row r="42" customFormat="false" ht="15" hidden="false" customHeight="false" outlineLevel="0" collapsed="false">
      <c r="A42" s="9" t="n">
        <v>46328</v>
      </c>
      <c r="B42" s="8" t="str">
        <f aca="false">T(INDEX('Vote du jour'!$F$2:$F$223,MATCH(A42,'Vote du jour'!$B$2:$B$223,0)))</f>
        <v/>
      </c>
      <c r="C42" s="8" t="n">
        <f aca="false">COUNTIFS('Votes (table)'!$C$2:$C$1000,A42,'Votes (table)'!$E$2:$E$1000,"oui")</f>
        <v>0</v>
      </c>
      <c r="D42" s="8" t="n">
        <f aca="false">COUNTIFS('Votes (table)'!$C$2:$C$1000,A42,'Votes (table)'!$E$2:$E$1000,"non")</f>
        <v>0</v>
      </c>
      <c r="E42" s="8" t="n">
        <f aca="false">COUNTIFS('Votes (table)'!$C$2:$C$1000,A42,'Votes (table)'!$E$2:$E$1000,"blanc")</f>
        <v>0</v>
      </c>
      <c r="F42" s="8" t="n">
        <f aca="false">SUM(C42:E42)</f>
        <v>0</v>
      </c>
    </row>
    <row r="43" customFormat="false" ht="15" hidden="false" customHeight="false" outlineLevel="0" collapsed="false">
      <c r="A43" s="9" t="n">
        <v>46329</v>
      </c>
      <c r="B43" s="8" t="str">
        <f aca="false">T(INDEX('Vote du jour'!$F$2:$F$223,MATCH(A43,'Vote du jour'!$B$2:$B$223,0)))</f>
        <v/>
      </c>
      <c r="C43" s="8" t="n">
        <f aca="false">COUNTIFS('Votes (table)'!$C$2:$C$1000,A43,'Votes (table)'!$E$2:$E$1000,"oui")</f>
        <v>0</v>
      </c>
      <c r="D43" s="8" t="n">
        <f aca="false">COUNTIFS('Votes (table)'!$C$2:$C$1000,A43,'Votes (table)'!$E$2:$E$1000,"non")</f>
        <v>0</v>
      </c>
      <c r="E43" s="8" t="n">
        <f aca="false">COUNTIFS('Votes (table)'!$C$2:$C$1000,A43,'Votes (table)'!$E$2:$E$1000,"blanc")</f>
        <v>0</v>
      </c>
      <c r="F43" s="8" t="n">
        <f aca="false">SUM(C43:E43)</f>
        <v>0</v>
      </c>
    </row>
    <row r="44" customFormat="false" ht="15" hidden="false" customHeight="false" outlineLevel="0" collapsed="false">
      <c r="A44" s="9" t="n">
        <v>46330</v>
      </c>
      <c r="B44" s="8" t="str">
        <f aca="false">T(INDEX('Vote du jour'!$F$2:$F$223,MATCH(A44,'Vote du jour'!$B$2:$B$223,0)))</f>
        <v/>
      </c>
      <c r="C44" s="8" t="n">
        <f aca="false">COUNTIFS('Votes (table)'!$C$2:$C$1000,A44,'Votes (table)'!$E$2:$E$1000,"oui")</f>
        <v>0</v>
      </c>
      <c r="D44" s="8" t="n">
        <f aca="false">COUNTIFS('Votes (table)'!$C$2:$C$1000,A44,'Votes (table)'!$E$2:$E$1000,"non")</f>
        <v>0</v>
      </c>
      <c r="E44" s="8" t="n">
        <f aca="false">COUNTIFS('Votes (table)'!$C$2:$C$1000,A44,'Votes (table)'!$E$2:$E$1000,"blanc")</f>
        <v>0</v>
      </c>
      <c r="F44" s="8" t="n">
        <f aca="false">SUM(C44:E44)</f>
        <v>0</v>
      </c>
    </row>
    <row r="45" customFormat="false" ht="15" hidden="false" customHeight="false" outlineLevel="0" collapsed="false">
      <c r="A45" s="9" t="n">
        <v>46331</v>
      </c>
      <c r="B45" s="8" t="str">
        <f aca="false">T(INDEX('Vote du jour'!$F$2:$F$223,MATCH(A45,'Vote du jour'!$B$2:$B$223,0)))</f>
        <v/>
      </c>
      <c r="C45" s="8" t="n">
        <f aca="false">COUNTIFS('Votes (table)'!$C$2:$C$1000,A45,'Votes (table)'!$E$2:$E$1000,"oui")</f>
        <v>0</v>
      </c>
      <c r="D45" s="8" t="n">
        <f aca="false">COUNTIFS('Votes (table)'!$C$2:$C$1000,A45,'Votes (table)'!$E$2:$E$1000,"non")</f>
        <v>0</v>
      </c>
      <c r="E45" s="8" t="n">
        <f aca="false">COUNTIFS('Votes (table)'!$C$2:$C$1000,A45,'Votes (table)'!$E$2:$E$1000,"blanc")</f>
        <v>0</v>
      </c>
      <c r="F45" s="8" t="n">
        <f aca="false">SUM(C45:E45)</f>
        <v>0</v>
      </c>
    </row>
    <row r="46" customFormat="false" ht="15" hidden="false" customHeight="false" outlineLevel="0" collapsed="false">
      <c r="A46" s="9" t="n">
        <v>46332</v>
      </c>
      <c r="B46" s="8" t="str">
        <f aca="false">T(INDEX('Vote du jour'!$F$2:$F$223,MATCH(A46,'Vote du jour'!$B$2:$B$223,0)))</f>
        <v/>
      </c>
      <c r="C46" s="8" t="n">
        <f aca="false">COUNTIFS('Votes (table)'!$C$2:$C$1000,A46,'Votes (table)'!$E$2:$E$1000,"oui")</f>
        <v>0</v>
      </c>
      <c r="D46" s="8" t="n">
        <f aca="false">COUNTIFS('Votes (table)'!$C$2:$C$1000,A46,'Votes (table)'!$E$2:$E$1000,"non")</f>
        <v>0</v>
      </c>
      <c r="E46" s="8" t="n">
        <f aca="false">COUNTIFS('Votes (table)'!$C$2:$C$1000,A46,'Votes (table)'!$E$2:$E$1000,"blanc")</f>
        <v>0</v>
      </c>
      <c r="F46" s="8" t="n">
        <f aca="false">SUM(C46:E46)</f>
        <v>0</v>
      </c>
    </row>
    <row r="47" customFormat="false" ht="15" hidden="false" customHeight="false" outlineLevel="0" collapsed="false">
      <c r="A47" s="9" t="n">
        <v>46333</v>
      </c>
      <c r="B47" s="8" t="str">
        <f aca="false">T(INDEX('Vote du jour'!$F$2:$F$223,MATCH(A47,'Vote du jour'!$B$2:$B$223,0)))</f>
        <v/>
      </c>
      <c r="C47" s="8" t="n">
        <f aca="false">COUNTIFS('Votes (table)'!$C$2:$C$1000,A47,'Votes (table)'!$E$2:$E$1000,"oui")</f>
        <v>0</v>
      </c>
      <c r="D47" s="8" t="n">
        <f aca="false">COUNTIFS('Votes (table)'!$C$2:$C$1000,A47,'Votes (table)'!$E$2:$E$1000,"non")</f>
        <v>0</v>
      </c>
      <c r="E47" s="8" t="n">
        <f aca="false">COUNTIFS('Votes (table)'!$C$2:$C$1000,A47,'Votes (table)'!$E$2:$E$1000,"blanc")</f>
        <v>0</v>
      </c>
      <c r="F47" s="8" t="n">
        <f aca="false">SUM(C47:E47)</f>
        <v>0</v>
      </c>
    </row>
    <row r="48" customFormat="false" ht="15" hidden="false" customHeight="false" outlineLevel="0" collapsed="false">
      <c r="A48" s="9" t="n">
        <v>46334</v>
      </c>
      <c r="B48" s="8" t="str">
        <f aca="false">T(INDEX('Vote du jour'!$F$2:$F$223,MATCH(A48,'Vote du jour'!$B$2:$B$223,0)))</f>
        <v/>
      </c>
      <c r="C48" s="8" t="n">
        <f aca="false">COUNTIFS('Votes (table)'!$C$2:$C$1000,A48,'Votes (table)'!$E$2:$E$1000,"oui")</f>
        <v>0</v>
      </c>
      <c r="D48" s="8" t="n">
        <f aca="false">COUNTIFS('Votes (table)'!$C$2:$C$1000,A48,'Votes (table)'!$E$2:$E$1000,"non")</f>
        <v>0</v>
      </c>
      <c r="E48" s="8" t="n">
        <f aca="false">COUNTIFS('Votes (table)'!$C$2:$C$1000,A48,'Votes (table)'!$E$2:$E$1000,"blanc")</f>
        <v>0</v>
      </c>
      <c r="F48" s="8" t="n">
        <f aca="false">SUM(C48:E48)</f>
        <v>0</v>
      </c>
    </row>
    <row r="49" customFormat="false" ht="15" hidden="false" customHeight="false" outlineLevel="0" collapsed="false">
      <c r="A49" s="9" t="n">
        <v>46335</v>
      </c>
      <c r="B49" s="8" t="str">
        <f aca="false">T(INDEX('Vote du jour'!$F$2:$F$223,MATCH(A49,'Vote du jour'!$B$2:$B$223,0)))</f>
        <v/>
      </c>
      <c r="C49" s="8" t="n">
        <f aca="false">COUNTIFS('Votes (table)'!$C$2:$C$1000,A49,'Votes (table)'!$E$2:$E$1000,"oui")</f>
        <v>0</v>
      </c>
      <c r="D49" s="8" t="n">
        <f aca="false">COUNTIFS('Votes (table)'!$C$2:$C$1000,A49,'Votes (table)'!$E$2:$E$1000,"non")</f>
        <v>0</v>
      </c>
      <c r="E49" s="8" t="n">
        <f aca="false">COUNTIFS('Votes (table)'!$C$2:$C$1000,A49,'Votes (table)'!$E$2:$E$1000,"blanc")</f>
        <v>0</v>
      </c>
      <c r="F49" s="8" t="n">
        <f aca="false">SUM(C49:E49)</f>
        <v>0</v>
      </c>
    </row>
    <row r="50" customFormat="false" ht="15" hidden="false" customHeight="false" outlineLevel="0" collapsed="false">
      <c r="A50" s="9" t="n">
        <v>46336</v>
      </c>
      <c r="B50" s="8" t="str">
        <f aca="false">T(INDEX('Vote du jour'!$F$2:$F$223,MATCH(A50,'Vote du jour'!$B$2:$B$223,0)))</f>
        <v/>
      </c>
      <c r="C50" s="8" t="n">
        <f aca="false">COUNTIFS('Votes (table)'!$C$2:$C$1000,A50,'Votes (table)'!$E$2:$E$1000,"oui")</f>
        <v>0</v>
      </c>
      <c r="D50" s="8" t="n">
        <f aca="false">COUNTIFS('Votes (table)'!$C$2:$C$1000,A50,'Votes (table)'!$E$2:$E$1000,"non")</f>
        <v>0</v>
      </c>
      <c r="E50" s="8" t="n">
        <f aca="false">COUNTIFS('Votes (table)'!$C$2:$C$1000,A50,'Votes (table)'!$E$2:$E$1000,"blanc")</f>
        <v>0</v>
      </c>
      <c r="F50" s="8" t="n">
        <f aca="false">SUM(C50:E50)</f>
        <v>0</v>
      </c>
    </row>
    <row r="51" customFormat="false" ht="15" hidden="false" customHeight="false" outlineLevel="0" collapsed="false">
      <c r="A51" s="9" t="n">
        <v>46337</v>
      </c>
      <c r="B51" s="8" t="str">
        <f aca="false">T(INDEX('Vote du jour'!$F$2:$F$223,MATCH(A51,'Vote du jour'!$B$2:$B$223,0)))</f>
        <v/>
      </c>
      <c r="C51" s="8" t="n">
        <f aca="false">COUNTIFS('Votes (table)'!$C$2:$C$1000,A51,'Votes (table)'!$E$2:$E$1000,"oui")</f>
        <v>0</v>
      </c>
      <c r="D51" s="8" t="n">
        <f aca="false">COUNTIFS('Votes (table)'!$C$2:$C$1000,A51,'Votes (table)'!$E$2:$E$1000,"non")</f>
        <v>0</v>
      </c>
      <c r="E51" s="8" t="n">
        <f aca="false">COUNTIFS('Votes (table)'!$C$2:$C$1000,A51,'Votes (table)'!$E$2:$E$1000,"blanc")</f>
        <v>0</v>
      </c>
      <c r="F51" s="8" t="n">
        <f aca="false">SUM(C51:E51)</f>
        <v>0</v>
      </c>
    </row>
    <row r="52" customFormat="false" ht="15" hidden="false" customHeight="false" outlineLevel="0" collapsed="false">
      <c r="A52" s="9" t="n">
        <v>46338</v>
      </c>
      <c r="B52" s="8" t="str">
        <f aca="false">T(INDEX('Vote du jour'!$F$2:$F$223,MATCH(A52,'Vote du jour'!$B$2:$B$223,0)))</f>
        <v/>
      </c>
      <c r="C52" s="8" t="n">
        <f aca="false">COUNTIFS('Votes (table)'!$C$2:$C$1000,A52,'Votes (table)'!$E$2:$E$1000,"oui")</f>
        <v>0</v>
      </c>
      <c r="D52" s="8" t="n">
        <f aca="false">COUNTIFS('Votes (table)'!$C$2:$C$1000,A52,'Votes (table)'!$E$2:$E$1000,"non")</f>
        <v>0</v>
      </c>
      <c r="E52" s="8" t="n">
        <f aca="false">COUNTIFS('Votes (table)'!$C$2:$C$1000,A52,'Votes (table)'!$E$2:$E$1000,"blanc")</f>
        <v>0</v>
      </c>
      <c r="F52" s="8" t="n">
        <f aca="false">SUM(C52:E52)</f>
        <v>0</v>
      </c>
    </row>
    <row r="53" customFormat="false" ht="15" hidden="false" customHeight="false" outlineLevel="0" collapsed="false">
      <c r="A53" s="9" t="n">
        <v>46339</v>
      </c>
      <c r="B53" s="8" t="str">
        <f aca="false">T(INDEX('Vote du jour'!$F$2:$F$223,MATCH(A53,'Vote du jour'!$B$2:$B$223,0)))</f>
        <v/>
      </c>
      <c r="C53" s="8" t="n">
        <f aca="false">COUNTIFS('Votes (table)'!$C$2:$C$1000,A53,'Votes (table)'!$E$2:$E$1000,"oui")</f>
        <v>0</v>
      </c>
      <c r="D53" s="8" t="n">
        <f aca="false">COUNTIFS('Votes (table)'!$C$2:$C$1000,A53,'Votes (table)'!$E$2:$E$1000,"non")</f>
        <v>0</v>
      </c>
      <c r="E53" s="8" t="n">
        <f aca="false">COUNTIFS('Votes (table)'!$C$2:$C$1000,A53,'Votes (table)'!$E$2:$E$1000,"blanc")</f>
        <v>0</v>
      </c>
      <c r="F53" s="8" t="n">
        <f aca="false">SUM(C53:E53)</f>
        <v>0</v>
      </c>
    </row>
    <row r="54" customFormat="false" ht="15" hidden="false" customHeight="false" outlineLevel="0" collapsed="false">
      <c r="A54" s="9" t="n">
        <v>46340</v>
      </c>
      <c r="B54" s="8" t="str">
        <f aca="false">T(INDEX('Vote du jour'!$F$2:$F$223,MATCH(A54,'Vote du jour'!$B$2:$B$223,0)))</f>
        <v/>
      </c>
      <c r="C54" s="8" t="n">
        <f aca="false">COUNTIFS('Votes (table)'!$C$2:$C$1000,A54,'Votes (table)'!$E$2:$E$1000,"oui")</f>
        <v>0</v>
      </c>
      <c r="D54" s="8" t="n">
        <f aca="false">COUNTIFS('Votes (table)'!$C$2:$C$1000,A54,'Votes (table)'!$E$2:$E$1000,"non")</f>
        <v>0</v>
      </c>
      <c r="E54" s="8" t="n">
        <f aca="false">COUNTIFS('Votes (table)'!$C$2:$C$1000,A54,'Votes (table)'!$E$2:$E$1000,"blanc")</f>
        <v>0</v>
      </c>
      <c r="F54" s="8" t="n">
        <f aca="false">SUM(C54:E54)</f>
        <v>0</v>
      </c>
    </row>
    <row r="55" customFormat="false" ht="15" hidden="false" customHeight="false" outlineLevel="0" collapsed="false">
      <c r="A55" s="9" t="n">
        <v>46341</v>
      </c>
      <c r="B55" s="8" t="str">
        <f aca="false">T(INDEX('Vote du jour'!$F$2:$F$223,MATCH(A55,'Vote du jour'!$B$2:$B$223,0)))</f>
        <v/>
      </c>
      <c r="C55" s="8" t="n">
        <f aca="false">COUNTIFS('Votes (table)'!$C$2:$C$1000,A55,'Votes (table)'!$E$2:$E$1000,"oui")</f>
        <v>0</v>
      </c>
      <c r="D55" s="8" t="n">
        <f aca="false">COUNTIFS('Votes (table)'!$C$2:$C$1000,A55,'Votes (table)'!$E$2:$E$1000,"non")</f>
        <v>0</v>
      </c>
      <c r="E55" s="8" t="n">
        <f aca="false">COUNTIFS('Votes (table)'!$C$2:$C$1000,A55,'Votes (table)'!$E$2:$E$1000,"blanc")</f>
        <v>0</v>
      </c>
      <c r="F55" s="8" t="n">
        <f aca="false">SUM(C55:E55)</f>
        <v>0</v>
      </c>
    </row>
    <row r="56" customFormat="false" ht="15" hidden="false" customHeight="false" outlineLevel="0" collapsed="false">
      <c r="A56" s="9" t="n">
        <v>46342</v>
      </c>
      <c r="B56" s="8" t="str">
        <f aca="false">T(INDEX('Vote du jour'!$F$2:$F$223,MATCH(A56,'Vote du jour'!$B$2:$B$223,0)))</f>
        <v/>
      </c>
      <c r="C56" s="8" t="n">
        <f aca="false">COUNTIFS('Votes (table)'!$C$2:$C$1000,A56,'Votes (table)'!$E$2:$E$1000,"oui")</f>
        <v>0</v>
      </c>
      <c r="D56" s="8" t="n">
        <f aca="false">COUNTIFS('Votes (table)'!$C$2:$C$1000,A56,'Votes (table)'!$E$2:$E$1000,"non")</f>
        <v>0</v>
      </c>
      <c r="E56" s="8" t="n">
        <f aca="false">COUNTIFS('Votes (table)'!$C$2:$C$1000,A56,'Votes (table)'!$E$2:$E$1000,"blanc")</f>
        <v>0</v>
      </c>
      <c r="F56" s="8" t="n">
        <f aca="false">SUM(C56:E56)</f>
        <v>0</v>
      </c>
    </row>
    <row r="57" customFormat="false" ht="15" hidden="false" customHeight="false" outlineLevel="0" collapsed="false">
      <c r="A57" s="9" t="n">
        <v>46343</v>
      </c>
      <c r="B57" s="8" t="str">
        <f aca="false">T(INDEX('Vote du jour'!$F$2:$F$223,MATCH(A57,'Vote du jour'!$B$2:$B$223,0)))</f>
        <v/>
      </c>
      <c r="C57" s="8" t="n">
        <f aca="false">COUNTIFS('Votes (table)'!$C$2:$C$1000,A57,'Votes (table)'!$E$2:$E$1000,"oui")</f>
        <v>0</v>
      </c>
      <c r="D57" s="8" t="n">
        <f aca="false">COUNTIFS('Votes (table)'!$C$2:$C$1000,A57,'Votes (table)'!$E$2:$E$1000,"non")</f>
        <v>0</v>
      </c>
      <c r="E57" s="8" t="n">
        <f aca="false">COUNTIFS('Votes (table)'!$C$2:$C$1000,A57,'Votes (table)'!$E$2:$E$1000,"blanc")</f>
        <v>0</v>
      </c>
      <c r="F57" s="8" t="n">
        <f aca="false">SUM(C57:E57)</f>
        <v>0</v>
      </c>
    </row>
    <row r="58" customFormat="false" ht="15" hidden="false" customHeight="false" outlineLevel="0" collapsed="false">
      <c r="A58" s="9" t="n">
        <v>46344</v>
      </c>
      <c r="B58" s="8" t="str">
        <f aca="false">T(INDEX('Vote du jour'!$F$2:$F$223,MATCH(A58,'Vote du jour'!$B$2:$B$223,0)))</f>
        <v/>
      </c>
      <c r="C58" s="8" t="n">
        <f aca="false">COUNTIFS('Votes (table)'!$C$2:$C$1000,A58,'Votes (table)'!$E$2:$E$1000,"oui")</f>
        <v>0</v>
      </c>
      <c r="D58" s="8" t="n">
        <f aca="false">COUNTIFS('Votes (table)'!$C$2:$C$1000,A58,'Votes (table)'!$E$2:$E$1000,"non")</f>
        <v>0</v>
      </c>
      <c r="E58" s="8" t="n">
        <f aca="false">COUNTIFS('Votes (table)'!$C$2:$C$1000,A58,'Votes (table)'!$E$2:$E$1000,"blanc")</f>
        <v>0</v>
      </c>
      <c r="F58" s="8" t="n">
        <f aca="false">SUM(C58:E58)</f>
        <v>0</v>
      </c>
    </row>
    <row r="59" customFormat="false" ht="15" hidden="false" customHeight="false" outlineLevel="0" collapsed="false">
      <c r="A59" s="9" t="n">
        <v>46345</v>
      </c>
      <c r="B59" s="8" t="str">
        <f aca="false">T(INDEX('Vote du jour'!$F$2:$F$223,MATCH(A59,'Vote du jour'!$B$2:$B$223,0)))</f>
        <v/>
      </c>
      <c r="C59" s="8" t="n">
        <f aca="false">COUNTIFS('Votes (table)'!$C$2:$C$1000,A59,'Votes (table)'!$E$2:$E$1000,"oui")</f>
        <v>0</v>
      </c>
      <c r="D59" s="8" t="n">
        <f aca="false">COUNTIFS('Votes (table)'!$C$2:$C$1000,A59,'Votes (table)'!$E$2:$E$1000,"non")</f>
        <v>0</v>
      </c>
      <c r="E59" s="8" t="n">
        <f aca="false">COUNTIFS('Votes (table)'!$C$2:$C$1000,A59,'Votes (table)'!$E$2:$E$1000,"blanc")</f>
        <v>0</v>
      </c>
      <c r="F59" s="8" t="n">
        <f aca="false">SUM(C59:E59)</f>
        <v>0</v>
      </c>
    </row>
    <row r="60" customFormat="false" ht="15" hidden="false" customHeight="false" outlineLevel="0" collapsed="false">
      <c r="A60" s="9" t="n">
        <v>46346</v>
      </c>
      <c r="B60" s="8" t="str">
        <f aca="false">T(INDEX('Vote du jour'!$F$2:$F$223,MATCH(A60,'Vote du jour'!$B$2:$B$223,0)))</f>
        <v/>
      </c>
      <c r="C60" s="8" t="n">
        <f aca="false">COUNTIFS('Votes (table)'!$C$2:$C$1000,A60,'Votes (table)'!$E$2:$E$1000,"oui")</f>
        <v>0</v>
      </c>
      <c r="D60" s="8" t="n">
        <f aca="false">COUNTIFS('Votes (table)'!$C$2:$C$1000,A60,'Votes (table)'!$E$2:$E$1000,"non")</f>
        <v>0</v>
      </c>
      <c r="E60" s="8" t="n">
        <f aca="false">COUNTIFS('Votes (table)'!$C$2:$C$1000,A60,'Votes (table)'!$E$2:$E$1000,"blanc")</f>
        <v>0</v>
      </c>
      <c r="F60" s="8" t="n">
        <f aca="false">SUM(C60:E60)</f>
        <v>0</v>
      </c>
    </row>
    <row r="61" customFormat="false" ht="15" hidden="false" customHeight="false" outlineLevel="0" collapsed="false">
      <c r="A61" s="9" t="n">
        <v>46347</v>
      </c>
      <c r="B61" s="8" t="str">
        <f aca="false">T(INDEX('Vote du jour'!$F$2:$F$223,MATCH(A61,'Vote du jour'!$B$2:$B$223,0)))</f>
        <v/>
      </c>
      <c r="C61" s="8" t="n">
        <f aca="false">COUNTIFS('Votes (table)'!$C$2:$C$1000,A61,'Votes (table)'!$E$2:$E$1000,"oui")</f>
        <v>0</v>
      </c>
      <c r="D61" s="8" t="n">
        <f aca="false">COUNTIFS('Votes (table)'!$C$2:$C$1000,A61,'Votes (table)'!$E$2:$E$1000,"non")</f>
        <v>0</v>
      </c>
      <c r="E61" s="8" t="n">
        <f aca="false">COUNTIFS('Votes (table)'!$C$2:$C$1000,A61,'Votes (table)'!$E$2:$E$1000,"blanc")</f>
        <v>0</v>
      </c>
      <c r="F61" s="8" t="n">
        <f aca="false">SUM(C61:E61)</f>
        <v>0</v>
      </c>
    </row>
    <row r="62" customFormat="false" ht="15" hidden="false" customHeight="false" outlineLevel="0" collapsed="false">
      <c r="A62" s="9" t="n">
        <v>46348</v>
      </c>
      <c r="B62" s="8" t="str">
        <f aca="false">T(INDEX('Vote du jour'!$F$2:$F$223,MATCH(A62,'Vote du jour'!$B$2:$B$223,0)))</f>
        <v/>
      </c>
      <c r="C62" s="8" t="n">
        <f aca="false">COUNTIFS('Votes (table)'!$C$2:$C$1000,A62,'Votes (table)'!$E$2:$E$1000,"oui")</f>
        <v>0</v>
      </c>
      <c r="D62" s="8" t="n">
        <f aca="false">COUNTIFS('Votes (table)'!$C$2:$C$1000,A62,'Votes (table)'!$E$2:$E$1000,"non")</f>
        <v>0</v>
      </c>
      <c r="E62" s="8" t="n">
        <f aca="false">COUNTIFS('Votes (table)'!$C$2:$C$1000,A62,'Votes (table)'!$E$2:$E$1000,"blanc")</f>
        <v>0</v>
      </c>
      <c r="F62" s="8" t="n">
        <f aca="false">SUM(C62:E62)</f>
        <v>0</v>
      </c>
    </row>
    <row r="63" customFormat="false" ht="15" hidden="false" customHeight="false" outlineLevel="0" collapsed="false">
      <c r="A63" s="9" t="n">
        <v>46349</v>
      </c>
      <c r="B63" s="8" t="str">
        <f aca="false">T(INDEX('Vote du jour'!$F$2:$F$223,MATCH(A63,'Vote du jour'!$B$2:$B$223,0)))</f>
        <v/>
      </c>
      <c r="C63" s="8" t="n">
        <f aca="false">COUNTIFS('Votes (table)'!$C$2:$C$1000,A63,'Votes (table)'!$E$2:$E$1000,"oui")</f>
        <v>0</v>
      </c>
      <c r="D63" s="8" t="n">
        <f aca="false">COUNTIFS('Votes (table)'!$C$2:$C$1000,A63,'Votes (table)'!$E$2:$E$1000,"non")</f>
        <v>0</v>
      </c>
      <c r="E63" s="8" t="n">
        <f aca="false">COUNTIFS('Votes (table)'!$C$2:$C$1000,A63,'Votes (table)'!$E$2:$E$1000,"blanc")</f>
        <v>0</v>
      </c>
      <c r="F63" s="8" t="n">
        <f aca="false">SUM(C63:E63)</f>
        <v>0</v>
      </c>
    </row>
    <row r="64" customFormat="false" ht="15" hidden="false" customHeight="false" outlineLevel="0" collapsed="false">
      <c r="A64" s="9" t="n">
        <v>46350</v>
      </c>
      <c r="B64" s="8" t="str">
        <f aca="false">T(INDEX('Vote du jour'!$F$2:$F$223,MATCH(A64,'Vote du jour'!$B$2:$B$223,0)))</f>
        <v/>
      </c>
      <c r="C64" s="8" t="n">
        <f aca="false">COUNTIFS('Votes (table)'!$C$2:$C$1000,A64,'Votes (table)'!$E$2:$E$1000,"oui")</f>
        <v>0</v>
      </c>
      <c r="D64" s="8" t="n">
        <f aca="false">COUNTIFS('Votes (table)'!$C$2:$C$1000,A64,'Votes (table)'!$E$2:$E$1000,"non")</f>
        <v>0</v>
      </c>
      <c r="E64" s="8" t="n">
        <f aca="false">COUNTIFS('Votes (table)'!$C$2:$C$1000,A64,'Votes (table)'!$E$2:$E$1000,"blanc")</f>
        <v>0</v>
      </c>
      <c r="F64" s="8" t="n">
        <f aca="false">SUM(C64:E64)</f>
        <v>0</v>
      </c>
    </row>
    <row r="65" customFormat="false" ht="15" hidden="false" customHeight="false" outlineLevel="0" collapsed="false">
      <c r="A65" s="9" t="n">
        <v>46351</v>
      </c>
      <c r="B65" s="8" t="str">
        <f aca="false">T(INDEX('Vote du jour'!$F$2:$F$223,MATCH(A65,'Vote du jour'!$B$2:$B$223,0)))</f>
        <v/>
      </c>
      <c r="C65" s="8" t="n">
        <f aca="false">COUNTIFS('Votes (table)'!$C$2:$C$1000,A65,'Votes (table)'!$E$2:$E$1000,"oui")</f>
        <v>0</v>
      </c>
      <c r="D65" s="8" t="n">
        <f aca="false">COUNTIFS('Votes (table)'!$C$2:$C$1000,A65,'Votes (table)'!$E$2:$E$1000,"non")</f>
        <v>0</v>
      </c>
      <c r="E65" s="8" t="n">
        <f aca="false">COUNTIFS('Votes (table)'!$C$2:$C$1000,A65,'Votes (table)'!$E$2:$E$1000,"blanc")</f>
        <v>0</v>
      </c>
      <c r="F65" s="8" t="n">
        <f aca="false">SUM(C65:E65)</f>
        <v>0</v>
      </c>
    </row>
    <row r="66" customFormat="false" ht="15" hidden="false" customHeight="false" outlineLevel="0" collapsed="false">
      <c r="A66" s="9" t="n">
        <v>46352</v>
      </c>
      <c r="B66" s="8" t="str">
        <f aca="false">T(INDEX('Vote du jour'!$F$2:$F$223,MATCH(A66,'Vote du jour'!$B$2:$B$223,0)))</f>
        <v/>
      </c>
      <c r="C66" s="8" t="n">
        <f aca="false">COUNTIFS('Votes (table)'!$C$2:$C$1000,A66,'Votes (table)'!$E$2:$E$1000,"oui")</f>
        <v>0</v>
      </c>
      <c r="D66" s="8" t="n">
        <f aca="false">COUNTIFS('Votes (table)'!$C$2:$C$1000,A66,'Votes (table)'!$E$2:$E$1000,"non")</f>
        <v>0</v>
      </c>
      <c r="E66" s="8" t="n">
        <f aca="false">COUNTIFS('Votes (table)'!$C$2:$C$1000,A66,'Votes (table)'!$E$2:$E$1000,"blanc")</f>
        <v>0</v>
      </c>
      <c r="F66" s="8" t="n">
        <f aca="false">SUM(C66:E66)</f>
        <v>0</v>
      </c>
    </row>
    <row r="67" customFormat="false" ht="15" hidden="false" customHeight="false" outlineLevel="0" collapsed="false">
      <c r="A67" s="9" t="n">
        <v>46353</v>
      </c>
      <c r="B67" s="8" t="str">
        <f aca="false">T(INDEX('Vote du jour'!$F$2:$F$223,MATCH(A67,'Vote du jour'!$B$2:$B$223,0)))</f>
        <v/>
      </c>
      <c r="C67" s="8" t="n">
        <f aca="false">COUNTIFS('Votes (table)'!$C$2:$C$1000,A67,'Votes (table)'!$E$2:$E$1000,"oui")</f>
        <v>0</v>
      </c>
      <c r="D67" s="8" t="n">
        <f aca="false">COUNTIFS('Votes (table)'!$C$2:$C$1000,A67,'Votes (table)'!$E$2:$E$1000,"non")</f>
        <v>0</v>
      </c>
      <c r="E67" s="8" t="n">
        <f aca="false">COUNTIFS('Votes (table)'!$C$2:$C$1000,A67,'Votes (table)'!$E$2:$E$1000,"blanc")</f>
        <v>0</v>
      </c>
      <c r="F67" s="8" t="n">
        <f aca="false">SUM(C67:E67)</f>
        <v>0</v>
      </c>
    </row>
    <row r="68" customFormat="false" ht="15" hidden="false" customHeight="false" outlineLevel="0" collapsed="false">
      <c r="A68" s="9" t="n">
        <v>46354</v>
      </c>
      <c r="B68" s="8" t="str">
        <f aca="false">T(INDEX('Vote du jour'!$F$2:$F$223,MATCH(A68,'Vote du jour'!$B$2:$B$223,0)))</f>
        <v/>
      </c>
      <c r="C68" s="8" t="n">
        <f aca="false">COUNTIFS('Votes (table)'!$C$2:$C$1000,A68,'Votes (table)'!$E$2:$E$1000,"oui")</f>
        <v>0</v>
      </c>
      <c r="D68" s="8" t="n">
        <f aca="false">COUNTIFS('Votes (table)'!$C$2:$C$1000,A68,'Votes (table)'!$E$2:$E$1000,"non")</f>
        <v>0</v>
      </c>
      <c r="E68" s="8" t="n">
        <f aca="false">COUNTIFS('Votes (table)'!$C$2:$C$1000,A68,'Votes (table)'!$E$2:$E$1000,"blanc")</f>
        <v>0</v>
      </c>
      <c r="F68" s="8" t="n">
        <f aca="false">SUM(C68:E68)</f>
        <v>0</v>
      </c>
    </row>
    <row r="69" customFormat="false" ht="15" hidden="false" customHeight="false" outlineLevel="0" collapsed="false">
      <c r="A69" s="9" t="n">
        <v>46355</v>
      </c>
      <c r="B69" s="8" t="str">
        <f aca="false">T(INDEX('Vote du jour'!$F$2:$F$223,MATCH(A69,'Vote du jour'!$B$2:$B$223,0)))</f>
        <v/>
      </c>
      <c r="C69" s="8" t="n">
        <f aca="false">COUNTIFS('Votes (table)'!$C$2:$C$1000,A69,'Votes (table)'!$E$2:$E$1000,"oui")</f>
        <v>0</v>
      </c>
      <c r="D69" s="8" t="n">
        <f aca="false">COUNTIFS('Votes (table)'!$C$2:$C$1000,A69,'Votes (table)'!$E$2:$E$1000,"non")</f>
        <v>0</v>
      </c>
      <c r="E69" s="8" t="n">
        <f aca="false">COUNTIFS('Votes (table)'!$C$2:$C$1000,A69,'Votes (table)'!$E$2:$E$1000,"blanc")</f>
        <v>0</v>
      </c>
      <c r="F69" s="8" t="n">
        <f aca="false">SUM(C69:E69)</f>
        <v>0</v>
      </c>
    </row>
    <row r="70" customFormat="false" ht="15" hidden="false" customHeight="false" outlineLevel="0" collapsed="false">
      <c r="A70" s="9" t="n">
        <v>46356</v>
      </c>
      <c r="B70" s="8" t="str">
        <f aca="false">T(INDEX('Vote du jour'!$F$2:$F$223,MATCH(A70,'Vote du jour'!$B$2:$B$223,0)))</f>
        <v/>
      </c>
      <c r="C70" s="8" t="n">
        <f aca="false">COUNTIFS('Votes (table)'!$C$2:$C$1000,A70,'Votes (table)'!$E$2:$E$1000,"oui")</f>
        <v>0</v>
      </c>
      <c r="D70" s="8" t="n">
        <f aca="false">COUNTIFS('Votes (table)'!$C$2:$C$1000,A70,'Votes (table)'!$E$2:$E$1000,"non")</f>
        <v>0</v>
      </c>
      <c r="E70" s="8" t="n">
        <f aca="false">COUNTIFS('Votes (table)'!$C$2:$C$1000,A70,'Votes (table)'!$E$2:$E$1000,"blanc")</f>
        <v>0</v>
      </c>
      <c r="F70" s="8" t="n">
        <f aca="false">SUM(C70:E70)</f>
        <v>0</v>
      </c>
    </row>
    <row r="71" customFormat="false" ht="15" hidden="false" customHeight="false" outlineLevel="0" collapsed="false">
      <c r="A71" s="9" t="n">
        <v>46357</v>
      </c>
      <c r="B71" s="8" t="str">
        <f aca="false">T(INDEX('Vote du jour'!$F$2:$F$223,MATCH(A71,'Vote du jour'!$B$2:$B$223,0)))</f>
        <v/>
      </c>
      <c r="C71" s="8" t="n">
        <f aca="false">COUNTIFS('Votes (table)'!$C$2:$C$1000,A71,'Votes (table)'!$E$2:$E$1000,"oui")</f>
        <v>0</v>
      </c>
      <c r="D71" s="8" t="n">
        <f aca="false">COUNTIFS('Votes (table)'!$C$2:$C$1000,A71,'Votes (table)'!$E$2:$E$1000,"non")</f>
        <v>0</v>
      </c>
      <c r="E71" s="8" t="n">
        <f aca="false">COUNTIFS('Votes (table)'!$C$2:$C$1000,A71,'Votes (table)'!$E$2:$E$1000,"blanc")</f>
        <v>0</v>
      </c>
      <c r="F71" s="8" t="n">
        <f aca="false">SUM(C71:E71)</f>
        <v>0</v>
      </c>
    </row>
    <row r="72" customFormat="false" ht="15" hidden="false" customHeight="false" outlineLevel="0" collapsed="false">
      <c r="A72" s="9" t="n">
        <v>46358</v>
      </c>
      <c r="B72" s="8" t="str">
        <f aca="false">T(INDEX('Vote du jour'!$F$2:$F$223,MATCH(A72,'Vote du jour'!$B$2:$B$223,0)))</f>
        <v/>
      </c>
      <c r="C72" s="8" t="n">
        <f aca="false">COUNTIFS('Votes (table)'!$C$2:$C$1000,A72,'Votes (table)'!$E$2:$E$1000,"oui")</f>
        <v>0</v>
      </c>
      <c r="D72" s="8" t="n">
        <f aca="false">COUNTIFS('Votes (table)'!$C$2:$C$1000,A72,'Votes (table)'!$E$2:$E$1000,"non")</f>
        <v>0</v>
      </c>
      <c r="E72" s="8" t="n">
        <f aca="false">COUNTIFS('Votes (table)'!$C$2:$C$1000,A72,'Votes (table)'!$E$2:$E$1000,"blanc")</f>
        <v>0</v>
      </c>
      <c r="F72" s="8" t="n">
        <f aca="false">SUM(C72:E72)</f>
        <v>0</v>
      </c>
    </row>
    <row r="73" customFormat="false" ht="15" hidden="false" customHeight="false" outlineLevel="0" collapsed="false">
      <c r="A73" s="9" t="n">
        <v>46359</v>
      </c>
      <c r="B73" s="8" t="str">
        <f aca="false">T(INDEX('Vote du jour'!$F$2:$F$223,MATCH(A73,'Vote du jour'!$B$2:$B$223,0)))</f>
        <v/>
      </c>
      <c r="C73" s="8" t="n">
        <f aca="false">COUNTIFS('Votes (table)'!$C$2:$C$1000,A73,'Votes (table)'!$E$2:$E$1000,"oui")</f>
        <v>0</v>
      </c>
      <c r="D73" s="8" t="n">
        <f aca="false">COUNTIFS('Votes (table)'!$C$2:$C$1000,A73,'Votes (table)'!$E$2:$E$1000,"non")</f>
        <v>0</v>
      </c>
      <c r="E73" s="8" t="n">
        <f aca="false">COUNTIFS('Votes (table)'!$C$2:$C$1000,A73,'Votes (table)'!$E$2:$E$1000,"blanc")</f>
        <v>0</v>
      </c>
      <c r="F73" s="8" t="n">
        <f aca="false">SUM(C73:E73)</f>
        <v>0</v>
      </c>
    </row>
    <row r="74" customFormat="false" ht="15" hidden="false" customHeight="false" outlineLevel="0" collapsed="false">
      <c r="A74" s="9" t="n">
        <v>46360</v>
      </c>
      <c r="B74" s="8" t="str">
        <f aca="false">T(INDEX('Vote du jour'!$F$2:$F$223,MATCH(A74,'Vote du jour'!$B$2:$B$223,0)))</f>
        <v/>
      </c>
      <c r="C74" s="8" t="n">
        <f aca="false">COUNTIFS('Votes (table)'!$C$2:$C$1000,A74,'Votes (table)'!$E$2:$E$1000,"oui")</f>
        <v>0</v>
      </c>
      <c r="D74" s="8" t="n">
        <f aca="false">COUNTIFS('Votes (table)'!$C$2:$C$1000,A74,'Votes (table)'!$E$2:$E$1000,"non")</f>
        <v>0</v>
      </c>
      <c r="E74" s="8" t="n">
        <f aca="false">COUNTIFS('Votes (table)'!$C$2:$C$1000,A74,'Votes (table)'!$E$2:$E$1000,"blanc")</f>
        <v>0</v>
      </c>
      <c r="F74" s="8" t="n">
        <f aca="false">SUM(C74:E74)</f>
        <v>0</v>
      </c>
    </row>
    <row r="75" customFormat="false" ht="15" hidden="false" customHeight="false" outlineLevel="0" collapsed="false">
      <c r="A75" s="9" t="n">
        <v>46361</v>
      </c>
      <c r="B75" s="8" t="str">
        <f aca="false">T(INDEX('Vote du jour'!$F$2:$F$223,MATCH(A75,'Vote du jour'!$B$2:$B$223,0)))</f>
        <v/>
      </c>
      <c r="C75" s="8" t="n">
        <f aca="false">COUNTIFS('Votes (table)'!$C$2:$C$1000,A75,'Votes (table)'!$E$2:$E$1000,"oui")</f>
        <v>0</v>
      </c>
      <c r="D75" s="8" t="n">
        <f aca="false">COUNTIFS('Votes (table)'!$C$2:$C$1000,A75,'Votes (table)'!$E$2:$E$1000,"non")</f>
        <v>0</v>
      </c>
      <c r="E75" s="8" t="n">
        <f aca="false">COUNTIFS('Votes (table)'!$C$2:$C$1000,A75,'Votes (table)'!$E$2:$E$1000,"blanc")</f>
        <v>0</v>
      </c>
      <c r="F75" s="8" t="n">
        <f aca="false">SUM(C75:E75)</f>
        <v>0</v>
      </c>
    </row>
    <row r="76" customFormat="false" ht="15" hidden="false" customHeight="false" outlineLevel="0" collapsed="false">
      <c r="A76" s="9" t="n">
        <v>46362</v>
      </c>
      <c r="B76" s="8" t="str">
        <f aca="false">T(INDEX('Vote du jour'!$F$2:$F$223,MATCH(A76,'Vote du jour'!$B$2:$B$223,0)))</f>
        <v/>
      </c>
      <c r="C76" s="8" t="n">
        <f aca="false">COUNTIFS('Votes (table)'!$C$2:$C$1000,A76,'Votes (table)'!$E$2:$E$1000,"oui")</f>
        <v>0</v>
      </c>
      <c r="D76" s="8" t="n">
        <f aca="false">COUNTIFS('Votes (table)'!$C$2:$C$1000,A76,'Votes (table)'!$E$2:$E$1000,"non")</f>
        <v>0</v>
      </c>
      <c r="E76" s="8" t="n">
        <f aca="false">COUNTIFS('Votes (table)'!$C$2:$C$1000,A76,'Votes (table)'!$E$2:$E$1000,"blanc")</f>
        <v>0</v>
      </c>
      <c r="F76" s="8" t="n">
        <f aca="false">SUM(C76:E76)</f>
        <v>0</v>
      </c>
    </row>
    <row r="77" customFormat="false" ht="15" hidden="false" customHeight="false" outlineLevel="0" collapsed="false">
      <c r="A77" s="9" t="n">
        <v>46363</v>
      </c>
      <c r="B77" s="8" t="str">
        <f aca="false">T(INDEX('Vote du jour'!$F$2:$F$223,MATCH(A77,'Vote du jour'!$B$2:$B$223,0)))</f>
        <v/>
      </c>
      <c r="C77" s="8" t="n">
        <f aca="false">COUNTIFS('Votes (table)'!$C$2:$C$1000,A77,'Votes (table)'!$E$2:$E$1000,"oui")</f>
        <v>0</v>
      </c>
      <c r="D77" s="8" t="n">
        <f aca="false">COUNTIFS('Votes (table)'!$C$2:$C$1000,A77,'Votes (table)'!$E$2:$E$1000,"non")</f>
        <v>0</v>
      </c>
      <c r="E77" s="8" t="n">
        <f aca="false">COUNTIFS('Votes (table)'!$C$2:$C$1000,A77,'Votes (table)'!$E$2:$E$1000,"blanc")</f>
        <v>0</v>
      </c>
      <c r="F77" s="8" t="n">
        <f aca="false">SUM(C77:E77)</f>
        <v>0</v>
      </c>
    </row>
    <row r="78" customFormat="false" ht="15" hidden="false" customHeight="false" outlineLevel="0" collapsed="false">
      <c r="A78" s="9" t="n">
        <v>46364</v>
      </c>
      <c r="B78" s="8" t="str">
        <f aca="false">T(INDEX('Vote du jour'!$F$2:$F$223,MATCH(A78,'Vote du jour'!$B$2:$B$223,0)))</f>
        <v/>
      </c>
      <c r="C78" s="8" t="n">
        <f aca="false">COUNTIFS('Votes (table)'!$C$2:$C$1000,A78,'Votes (table)'!$E$2:$E$1000,"oui")</f>
        <v>0</v>
      </c>
      <c r="D78" s="8" t="n">
        <f aca="false">COUNTIFS('Votes (table)'!$C$2:$C$1000,A78,'Votes (table)'!$E$2:$E$1000,"non")</f>
        <v>0</v>
      </c>
      <c r="E78" s="8" t="n">
        <f aca="false">COUNTIFS('Votes (table)'!$C$2:$C$1000,A78,'Votes (table)'!$E$2:$E$1000,"blanc")</f>
        <v>0</v>
      </c>
      <c r="F78" s="8" t="n">
        <f aca="false">SUM(C78:E78)</f>
        <v>0</v>
      </c>
    </row>
    <row r="79" customFormat="false" ht="15" hidden="false" customHeight="false" outlineLevel="0" collapsed="false">
      <c r="A79" s="9" t="n">
        <v>46365</v>
      </c>
      <c r="B79" s="8" t="str">
        <f aca="false">T(INDEX('Vote du jour'!$F$2:$F$223,MATCH(A79,'Vote du jour'!$B$2:$B$223,0)))</f>
        <v/>
      </c>
      <c r="C79" s="8" t="n">
        <f aca="false">COUNTIFS('Votes (table)'!$C$2:$C$1000,A79,'Votes (table)'!$E$2:$E$1000,"oui")</f>
        <v>0</v>
      </c>
      <c r="D79" s="8" t="n">
        <f aca="false">COUNTIFS('Votes (table)'!$C$2:$C$1000,A79,'Votes (table)'!$E$2:$E$1000,"non")</f>
        <v>0</v>
      </c>
      <c r="E79" s="8" t="n">
        <f aca="false">COUNTIFS('Votes (table)'!$C$2:$C$1000,A79,'Votes (table)'!$E$2:$E$1000,"blanc")</f>
        <v>0</v>
      </c>
      <c r="F79" s="8" t="n">
        <f aca="false">SUM(C79:E79)</f>
        <v>0</v>
      </c>
    </row>
    <row r="80" customFormat="false" ht="15" hidden="false" customHeight="false" outlineLevel="0" collapsed="false">
      <c r="A80" s="9" t="n">
        <v>46366</v>
      </c>
      <c r="B80" s="8" t="str">
        <f aca="false">T(INDEX('Vote du jour'!$F$2:$F$223,MATCH(A80,'Vote du jour'!$B$2:$B$223,0)))</f>
        <v/>
      </c>
      <c r="C80" s="8" t="n">
        <f aca="false">COUNTIFS('Votes (table)'!$C$2:$C$1000,A80,'Votes (table)'!$E$2:$E$1000,"oui")</f>
        <v>0</v>
      </c>
      <c r="D80" s="8" t="n">
        <f aca="false">COUNTIFS('Votes (table)'!$C$2:$C$1000,A80,'Votes (table)'!$E$2:$E$1000,"non")</f>
        <v>0</v>
      </c>
      <c r="E80" s="8" t="n">
        <f aca="false">COUNTIFS('Votes (table)'!$C$2:$C$1000,A80,'Votes (table)'!$E$2:$E$1000,"blanc")</f>
        <v>0</v>
      </c>
      <c r="F80" s="8" t="n">
        <f aca="false">SUM(C80:E80)</f>
        <v>0</v>
      </c>
    </row>
    <row r="81" customFormat="false" ht="15" hidden="false" customHeight="false" outlineLevel="0" collapsed="false">
      <c r="A81" s="9" t="n">
        <v>46367</v>
      </c>
      <c r="B81" s="8" t="str">
        <f aca="false">T(INDEX('Vote du jour'!$F$2:$F$223,MATCH(A81,'Vote du jour'!$B$2:$B$223,0)))</f>
        <v/>
      </c>
      <c r="C81" s="8" t="n">
        <f aca="false">COUNTIFS('Votes (table)'!$C$2:$C$1000,A81,'Votes (table)'!$E$2:$E$1000,"oui")</f>
        <v>0</v>
      </c>
      <c r="D81" s="8" t="n">
        <f aca="false">COUNTIFS('Votes (table)'!$C$2:$C$1000,A81,'Votes (table)'!$E$2:$E$1000,"non")</f>
        <v>0</v>
      </c>
      <c r="E81" s="8" t="n">
        <f aca="false">COUNTIFS('Votes (table)'!$C$2:$C$1000,A81,'Votes (table)'!$E$2:$E$1000,"blanc")</f>
        <v>0</v>
      </c>
      <c r="F81" s="8" t="n">
        <f aca="false">SUM(C81:E81)</f>
        <v>0</v>
      </c>
    </row>
    <row r="82" customFormat="false" ht="15" hidden="false" customHeight="false" outlineLevel="0" collapsed="false">
      <c r="A82" s="9" t="n">
        <v>46368</v>
      </c>
      <c r="B82" s="8" t="str">
        <f aca="false">T(INDEX('Vote du jour'!$F$2:$F$223,MATCH(A82,'Vote du jour'!$B$2:$B$223,0)))</f>
        <v/>
      </c>
      <c r="C82" s="8" t="n">
        <f aca="false">COUNTIFS('Votes (table)'!$C$2:$C$1000,A82,'Votes (table)'!$E$2:$E$1000,"oui")</f>
        <v>0</v>
      </c>
      <c r="D82" s="8" t="n">
        <f aca="false">COUNTIFS('Votes (table)'!$C$2:$C$1000,A82,'Votes (table)'!$E$2:$E$1000,"non")</f>
        <v>0</v>
      </c>
      <c r="E82" s="8" t="n">
        <f aca="false">COUNTIFS('Votes (table)'!$C$2:$C$1000,A82,'Votes (table)'!$E$2:$E$1000,"blanc")</f>
        <v>0</v>
      </c>
      <c r="F82" s="8" t="n">
        <f aca="false">SUM(C82:E82)</f>
        <v>0</v>
      </c>
    </row>
    <row r="83" customFormat="false" ht="15" hidden="false" customHeight="false" outlineLevel="0" collapsed="false">
      <c r="A83" s="9" t="n">
        <v>46369</v>
      </c>
      <c r="B83" s="8" t="str">
        <f aca="false">T(INDEX('Vote du jour'!$F$2:$F$223,MATCH(A83,'Vote du jour'!$B$2:$B$223,0)))</f>
        <v/>
      </c>
      <c r="C83" s="8" t="n">
        <f aca="false">COUNTIFS('Votes (table)'!$C$2:$C$1000,A83,'Votes (table)'!$E$2:$E$1000,"oui")</f>
        <v>0</v>
      </c>
      <c r="D83" s="8" t="n">
        <f aca="false">COUNTIFS('Votes (table)'!$C$2:$C$1000,A83,'Votes (table)'!$E$2:$E$1000,"non")</f>
        <v>0</v>
      </c>
      <c r="E83" s="8" t="n">
        <f aca="false">COUNTIFS('Votes (table)'!$C$2:$C$1000,A83,'Votes (table)'!$E$2:$E$1000,"blanc")</f>
        <v>0</v>
      </c>
      <c r="F83" s="8" t="n">
        <f aca="false">SUM(C83:E83)</f>
        <v>0</v>
      </c>
    </row>
    <row r="84" customFormat="false" ht="15" hidden="false" customHeight="false" outlineLevel="0" collapsed="false">
      <c r="A84" s="9" t="n">
        <v>46370</v>
      </c>
      <c r="B84" s="8" t="str">
        <f aca="false">T(INDEX('Vote du jour'!$F$2:$F$223,MATCH(A84,'Vote du jour'!$B$2:$B$223,0)))</f>
        <v/>
      </c>
      <c r="C84" s="8" t="n">
        <f aca="false">COUNTIFS('Votes (table)'!$C$2:$C$1000,A84,'Votes (table)'!$E$2:$E$1000,"oui")</f>
        <v>0</v>
      </c>
      <c r="D84" s="8" t="n">
        <f aca="false">COUNTIFS('Votes (table)'!$C$2:$C$1000,A84,'Votes (table)'!$E$2:$E$1000,"non")</f>
        <v>0</v>
      </c>
      <c r="E84" s="8" t="n">
        <f aca="false">COUNTIFS('Votes (table)'!$C$2:$C$1000,A84,'Votes (table)'!$E$2:$E$1000,"blanc")</f>
        <v>0</v>
      </c>
      <c r="F84" s="8" t="n">
        <f aca="false">SUM(C84:E84)</f>
        <v>0</v>
      </c>
    </row>
    <row r="85" customFormat="false" ht="15" hidden="false" customHeight="false" outlineLevel="0" collapsed="false">
      <c r="A85" s="9" t="n">
        <v>46371</v>
      </c>
      <c r="B85" s="8" t="str">
        <f aca="false">T(INDEX('Vote du jour'!$F$2:$F$223,MATCH(A85,'Vote du jour'!$B$2:$B$223,0)))</f>
        <v/>
      </c>
      <c r="C85" s="8" t="n">
        <f aca="false">COUNTIFS('Votes (table)'!$C$2:$C$1000,A85,'Votes (table)'!$E$2:$E$1000,"oui")</f>
        <v>0</v>
      </c>
      <c r="D85" s="8" t="n">
        <f aca="false">COUNTIFS('Votes (table)'!$C$2:$C$1000,A85,'Votes (table)'!$E$2:$E$1000,"non")</f>
        <v>0</v>
      </c>
      <c r="E85" s="8" t="n">
        <f aca="false">COUNTIFS('Votes (table)'!$C$2:$C$1000,A85,'Votes (table)'!$E$2:$E$1000,"blanc")</f>
        <v>0</v>
      </c>
      <c r="F85" s="8" t="n">
        <f aca="false">SUM(C85:E85)</f>
        <v>0</v>
      </c>
    </row>
    <row r="86" customFormat="false" ht="15" hidden="false" customHeight="false" outlineLevel="0" collapsed="false">
      <c r="A86" s="9" t="n">
        <v>46372</v>
      </c>
      <c r="B86" s="8" t="str">
        <f aca="false">T(INDEX('Vote du jour'!$F$2:$F$223,MATCH(A86,'Vote du jour'!$B$2:$B$223,0)))</f>
        <v/>
      </c>
      <c r="C86" s="8" t="n">
        <f aca="false">COUNTIFS('Votes (table)'!$C$2:$C$1000,A86,'Votes (table)'!$E$2:$E$1000,"oui")</f>
        <v>0</v>
      </c>
      <c r="D86" s="8" t="n">
        <f aca="false">COUNTIFS('Votes (table)'!$C$2:$C$1000,A86,'Votes (table)'!$E$2:$E$1000,"non")</f>
        <v>0</v>
      </c>
      <c r="E86" s="8" t="n">
        <f aca="false">COUNTIFS('Votes (table)'!$C$2:$C$1000,A86,'Votes (table)'!$E$2:$E$1000,"blanc")</f>
        <v>0</v>
      </c>
      <c r="F86" s="8" t="n">
        <f aca="false">SUM(C86:E86)</f>
        <v>0</v>
      </c>
    </row>
    <row r="87" customFormat="false" ht="15" hidden="false" customHeight="false" outlineLevel="0" collapsed="false">
      <c r="A87" s="9" t="n">
        <v>46373</v>
      </c>
      <c r="B87" s="8" t="str">
        <f aca="false">T(INDEX('Vote du jour'!$F$2:$F$223,MATCH(A87,'Vote du jour'!$B$2:$B$223,0)))</f>
        <v/>
      </c>
      <c r="C87" s="8" t="n">
        <f aca="false">COUNTIFS('Votes (table)'!$C$2:$C$1000,A87,'Votes (table)'!$E$2:$E$1000,"oui")</f>
        <v>0</v>
      </c>
      <c r="D87" s="8" t="n">
        <f aca="false">COUNTIFS('Votes (table)'!$C$2:$C$1000,A87,'Votes (table)'!$E$2:$E$1000,"non")</f>
        <v>0</v>
      </c>
      <c r="E87" s="8" t="n">
        <f aca="false">COUNTIFS('Votes (table)'!$C$2:$C$1000,A87,'Votes (table)'!$E$2:$E$1000,"blanc")</f>
        <v>0</v>
      </c>
      <c r="F87" s="8" t="n">
        <f aca="false">SUM(C87:E87)</f>
        <v>0</v>
      </c>
    </row>
    <row r="88" customFormat="false" ht="15" hidden="false" customHeight="false" outlineLevel="0" collapsed="false">
      <c r="A88" s="9" t="n">
        <v>46374</v>
      </c>
      <c r="B88" s="8" t="str">
        <f aca="false">T(INDEX('Vote du jour'!$F$2:$F$223,MATCH(A88,'Vote du jour'!$B$2:$B$223,0)))</f>
        <v/>
      </c>
      <c r="C88" s="8" t="n">
        <f aca="false">COUNTIFS('Votes (table)'!$C$2:$C$1000,A88,'Votes (table)'!$E$2:$E$1000,"oui")</f>
        <v>0</v>
      </c>
      <c r="D88" s="8" t="n">
        <f aca="false">COUNTIFS('Votes (table)'!$C$2:$C$1000,A88,'Votes (table)'!$E$2:$E$1000,"non")</f>
        <v>0</v>
      </c>
      <c r="E88" s="8" t="n">
        <f aca="false">COUNTIFS('Votes (table)'!$C$2:$C$1000,A88,'Votes (table)'!$E$2:$E$1000,"blanc")</f>
        <v>0</v>
      </c>
      <c r="F88" s="8" t="n">
        <f aca="false">SUM(C88:E88)</f>
        <v>0</v>
      </c>
    </row>
    <row r="89" customFormat="false" ht="15" hidden="false" customHeight="false" outlineLevel="0" collapsed="false">
      <c r="A89" s="9" t="n">
        <v>46375</v>
      </c>
      <c r="B89" s="8" t="str">
        <f aca="false">T(INDEX('Vote du jour'!$F$2:$F$223,MATCH(A89,'Vote du jour'!$B$2:$B$223,0)))</f>
        <v/>
      </c>
      <c r="C89" s="8" t="n">
        <f aca="false">COUNTIFS('Votes (table)'!$C$2:$C$1000,A89,'Votes (table)'!$E$2:$E$1000,"oui")</f>
        <v>0</v>
      </c>
      <c r="D89" s="8" t="n">
        <f aca="false">COUNTIFS('Votes (table)'!$C$2:$C$1000,A89,'Votes (table)'!$E$2:$E$1000,"non")</f>
        <v>0</v>
      </c>
      <c r="E89" s="8" t="n">
        <f aca="false">COUNTIFS('Votes (table)'!$C$2:$C$1000,A89,'Votes (table)'!$E$2:$E$1000,"blanc")</f>
        <v>0</v>
      </c>
      <c r="F89" s="8" t="n">
        <f aca="false">SUM(C89:E89)</f>
        <v>0</v>
      </c>
    </row>
    <row r="90" customFormat="false" ht="15" hidden="false" customHeight="false" outlineLevel="0" collapsed="false">
      <c r="A90" s="9" t="n">
        <v>46376</v>
      </c>
      <c r="B90" s="8" t="str">
        <f aca="false">T(INDEX('Vote du jour'!$F$2:$F$223,MATCH(A90,'Vote du jour'!$B$2:$B$223,0)))</f>
        <v/>
      </c>
      <c r="C90" s="8" t="n">
        <f aca="false">COUNTIFS('Votes (table)'!$C$2:$C$1000,A90,'Votes (table)'!$E$2:$E$1000,"oui")</f>
        <v>0</v>
      </c>
      <c r="D90" s="8" t="n">
        <f aca="false">COUNTIFS('Votes (table)'!$C$2:$C$1000,A90,'Votes (table)'!$E$2:$E$1000,"non")</f>
        <v>0</v>
      </c>
      <c r="E90" s="8" t="n">
        <f aca="false">COUNTIFS('Votes (table)'!$C$2:$C$1000,A90,'Votes (table)'!$E$2:$E$1000,"blanc")</f>
        <v>0</v>
      </c>
      <c r="F90" s="8" t="n">
        <f aca="false">SUM(C90:E90)</f>
        <v>0</v>
      </c>
    </row>
    <row r="91" customFormat="false" ht="15" hidden="false" customHeight="false" outlineLevel="0" collapsed="false">
      <c r="A91" s="9" t="n">
        <v>46377</v>
      </c>
      <c r="B91" s="8" t="str">
        <f aca="false">T(INDEX('Vote du jour'!$F$2:$F$223,MATCH(A91,'Vote du jour'!$B$2:$B$223,0)))</f>
        <v/>
      </c>
      <c r="C91" s="8" t="n">
        <f aca="false">COUNTIFS('Votes (table)'!$C$2:$C$1000,A91,'Votes (table)'!$E$2:$E$1000,"oui")</f>
        <v>0</v>
      </c>
      <c r="D91" s="8" t="n">
        <f aca="false">COUNTIFS('Votes (table)'!$C$2:$C$1000,A91,'Votes (table)'!$E$2:$E$1000,"non")</f>
        <v>0</v>
      </c>
      <c r="E91" s="8" t="n">
        <f aca="false">COUNTIFS('Votes (table)'!$C$2:$C$1000,A91,'Votes (table)'!$E$2:$E$1000,"blanc")</f>
        <v>0</v>
      </c>
      <c r="F91" s="8" t="n">
        <f aca="false">SUM(C91:E91)</f>
        <v>0</v>
      </c>
    </row>
    <row r="92" customFormat="false" ht="15" hidden="false" customHeight="false" outlineLevel="0" collapsed="false">
      <c r="A92" s="9" t="n">
        <v>46378</v>
      </c>
      <c r="B92" s="8" t="str">
        <f aca="false">T(INDEX('Vote du jour'!$F$2:$F$223,MATCH(A92,'Vote du jour'!$B$2:$B$223,0)))</f>
        <v/>
      </c>
      <c r="C92" s="8" t="n">
        <f aca="false">COUNTIFS('Votes (table)'!$C$2:$C$1000,A92,'Votes (table)'!$E$2:$E$1000,"oui")</f>
        <v>0</v>
      </c>
      <c r="D92" s="8" t="n">
        <f aca="false">COUNTIFS('Votes (table)'!$C$2:$C$1000,A92,'Votes (table)'!$E$2:$E$1000,"non")</f>
        <v>0</v>
      </c>
      <c r="E92" s="8" t="n">
        <f aca="false">COUNTIFS('Votes (table)'!$C$2:$C$1000,A92,'Votes (table)'!$E$2:$E$1000,"blanc")</f>
        <v>0</v>
      </c>
      <c r="F92" s="8" t="n">
        <f aca="false">SUM(C92:E92)</f>
        <v>0</v>
      </c>
    </row>
    <row r="93" customFormat="false" ht="15" hidden="false" customHeight="false" outlineLevel="0" collapsed="false">
      <c r="A93" s="9" t="n">
        <v>46379</v>
      </c>
      <c r="B93" s="8" t="str">
        <f aca="false">T(INDEX('Vote du jour'!$F$2:$F$223,MATCH(A93,'Vote du jour'!$B$2:$B$223,0)))</f>
        <v/>
      </c>
      <c r="C93" s="8" t="n">
        <f aca="false">COUNTIFS('Votes (table)'!$C$2:$C$1000,A93,'Votes (table)'!$E$2:$E$1000,"oui")</f>
        <v>0</v>
      </c>
      <c r="D93" s="8" t="n">
        <f aca="false">COUNTIFS('Votes (table)'!$C$2:$C$1000,A93,'Votes (table)'!$E$2:$E$1000,"non")</f>
        <v>0</v>
      </c>
      <c r="E93" s="8" t="n">
        <f aca="false">COUNTIFS('Votes (table)'!$C$2:$C$1000,A93,'Votes (table)'!$E$2:$E$1000,"blanc")</f>
        <v>0</v>
      </c>
      <c r="F93" s="8" t="n">
        <f aca="false">SUM(C93:E93)</f>
        <v>0</v>
      </c>
    </row>
    <row r="94" customFormat="false" ht="15" hidden="false" customHeight="false" outlineLevel="0" collapsed="false">
      <c r="A94" s="9" t="n">
        <v>46380</v>
      </c>
      <c r="B94" s="8" t="str">
        <f aca="false">T(INDEX('Vote du jour'!$F$2:$F$223,MATCH(A94,'Vote du jour'!$B$2:$B$223,0)))</f>
        <v/>
      </c>
      <c r="C94" s="8" t="n">
        <f aca="false">COUNTIFS('Votes (table)'!$C$2:$C$1000,A94,'Votes (table)'!$E$2:$E$1000,"oui")</f>
        <v>0</v>
      </c>
      <c r="D94" s="8" t="n">
        <f aca="false">COUNTIFS('Votes (table)'!$C$2:$C$1000,A94,'Votes (table)'!$E$2:$E$1000,"non")</f>
        <v>0</v>
      </c>
      <c r="E94" s="8" t="n">
        <f aca="false">COUNTIFS('Votes (table)'!$C$2:$C$1000,A94,'Votes (table)'!$E$2:$E$1000,"blanc")</f>
        <v>0</v>
      </c>
      <c r="F94" s="8" t="n">
        <f aca="false">SUM(C94:E94)</f>
        <v>0</v>
      </c>
    </row>
    <row r="95" customFormat="false" ht="15" hidden="false" customHeight="false" outlineLevel="0" collapsed="false">
      <c r="A95" s="9" t="n">
        <v>46381</v>
      </c>
      <c r="B95" s="8" t="str">
        <f aca="false">T(INDEX('Vote du jour'!$F$2:$F$223,MATCH(A95,'Vote du jour'!$B$2:$B$223,0)))</f>
        <v/>
      </c>
      <c r="C95" s="8" t="n">
        <f aca="false">COUNTIFS('Votes (table)'!$C$2:$C$1000,A95,'Votes (table)'!$E$2:$E$1000,"oui")</f>
        <v>0</v>
      </c>
      <c r="D95" s="8" t="n">
        <f aca="false">COUNTIFS('Votes (table)'!$C$2:$C$1000,A95,'Votes (table)'!$E$2:$E$1000,"non")</f>
        <v>0</v>
      </c>
      <c r="E95" s="8" t="n">
        <f aca="false">COUNTIFS('Votes (table)'!$C$2:$C$1000,A95,'Votes (table)'!$E$2:$E$1000,"blanc")</f>
        <v>0</v>
      </c>
      <c r="F95" s="8" t="n">
        <f aca="false">SUM(C95:E95)</f>
        <v>0</v>
      </c>
    </row>
    <row r="96" customFormat="false" ht="15" hidden="false" customHeight="false" outlineLevel="0" collapsed="false">
      <c r="A96" s="9" t="n">
        <v>46382</v>
      </c>
      <c r="B96" s="8" t="str">
        <f aca="false">T(INDEX('Vote du jour'!$F$2:$F$223,MATCH(A96,'Vote du jour'!$B$2:$B$223,0)))</f>
        <v/>
      </c>
      <c r="C96" s="8" t="n">
        <f aca="false">COUNTIFS('Votes (table)'!$C$2:$C$1000,A96,'Votes (table)'!$E$2:$E$1000,"oui")</f>
        <v>0</v>
      </c>
      <c r="D96" s="8" t="n">
        <f aca="false">COUNTIFS('Votes (table)'!$C$2:$C$1000,A96,'Votes (table)'!$E$2:$E$1000,"non")</f>
        <v>0</v>
      </c>
      <c r="E96" s="8" t="n">
        <f aca="false">COUNTIFS('Votes (table)'!$C$2:$C$1000,A96,'Votes (table)'!$E$2:$E$1000,"blanc")</f>
        <v>0</v>
      </c>
      <c r="F96" s="8" t="n">
        <f aca="false">SUM(C96:E96)</f>
        <v>0</v>
      </c>
    </row>
    <row r="97" customFormat="false" ht="15" hidden="false" customHeight="false" outlineLevel="0" collapsed="false">
      <c r="A97" s="9" t="n">
        <v>46383</v>
      </c>
      <c r="B97" s="8" t="str">
        <f aca="false">T(INDEX('Vote du jour'!$F$2:$F$223,MATCH(A97,'Vote du jour'!$B$2:$B$223,0)))</f>
        <v/>
      </c>
      <c r="C97" s="8" t="n">
        <f aca="false">COUNTIFS('Votes (table)'!$C$2:$C$1000,A97,'Votes (table)'!$E$2:$E$1000,"oui")</f>
        <v>0</v>
      </c>
      <c r="D97" s="8" t="n">
        <f aca="false">COUNTIFS('Votes (table)'!$C$2:$C$1000,A97,'Votes (table)'!$E$2:$E$1000,"non")</f>
        <v>0</v>
      </c>
      <c r="E97" s="8" t="n">
        <f aca="false">COUNTIFS('Votes (table)'!$C$2:$C$1000,A97,'Votes (table)'!$E$2:$E$1000,"blanc")</f>
        <v>0</v>
      </c>
      <c r="F97" s="8" t="n">
        <f aca="false">SUM(C97:E97)</f>
        <v>0</v>
      </c>
    </row>
    <row r="98" customFormat="false" ht="15" hidden="false" customHeight="false" outlineLevel="0" collapsed="false">
      <c r="A98" s="9" t="n">
        <v>46384</v>
      </c>
      <c r="B98" s="8" t="str">
        <f aca="false">T(INDEX('Vote du jour'!$F$2:$F$223,MATCH(A98,'Vote du jour'!$B$2:$B$223,0)))</f>
        <v/>
      </c>
      <c r="C98" s="8" t="n">
        <f aca="false">COUNTIFS('Votes (table)'!$C$2:$C$1000,A98,'Votes (table)'!$E$2:$E$1000,"oui")</f>
        <v>0</v>
      </c>
      <c r="D98" s="8" t="n">
        <f aca="false">COUNTIFS('Votes (table)'!$C$2:$C$1000,A98,'Votes (table)'!$E$2:$E$1000,"non")</f>
        <v>0</v>
      </c>
      <c r="E98" s="8" t="n">
        <f aca="false">COUNTIFS('Votes (table)'!$C$2:$C$1000,A98,'Votes (table)'!$E$2:$E$1000,"blanc")</f>
        <v>0</v>
      </c>
      <c r="F98" s="8" t="n">
        <f aca="false">SUM(C98:E98)</f>
        <v>0</v>
      </c>
    </row>
    <row r="99" customFormat="false" ht="15" hidden="false" customHeight="false" outlineLevel="0" collapsed="false">
      <c r="A99" s="9" t="n">
        <v>46385</v>
      </c>
      <c r="B99" s="8" t="str">
        <f aca="false">T(INDEX('Vote du jour'!$F$2:$F$223,MATCH(A99,'Vote du jour'!$B$2:$B$223,0)))</f>
        <v/>
      </c>
      <c r="C99" s="8" t="n">
        <f aca="false">COUNTIFS('Votes (table)'!$C$2:$C$1000,A99,'Votes (table)'!$E$2:$E$1000,"oui")</f>
        <v>0</v>
      </c>
      <c r="D99" s="8" t="n">
        <f aca="false">COUNTIFS('Votes (table)'!$C$2:$C$1000,A99,'Votes (table)'!$E$2:$E$1000,"non")</f>
        <v>0</v>
      </c>
      <c r="E99" s="8" t="n">
        <f aca="false">COUNTIFS('Votes (table)'!$C$2:$C$1000,A99,'Votes (table)'!$E$2:$E$1000,"blanc")</f>
        <v>0</v>
      </c>
      <c r="F99" s="8" t="n">
        <f aca="false">SUM(C99:E99)</f>
        <v>0</v>
      </c>
    </row>
    <row r="100" customFormat="false" ht="15" hidden="false" customHeight="false" outlineLevel="0" collapsed="false">
      <c r="A100" s="9" t="n">
        <v>46386</v>
      </c>
      <c r="B100" s="8" t="str">
        <f aca="false">T(INDEX('Vote du jour'!$F$2:$F$223,MATCH(A100,'Vote du jour'!$B$2:$B$223,0)))</f>
        <v/>
      </c>
      <c r="C100" s="8" t="n">
        <f aca="false">COUNTIFS('Votes (table)'!$C$2:$C$1000,A100,'Votes (table)'!$E$2:$E$1000,"oui")</f>
        <v>0</v>
      </c>
      <c r="D100" s="8" t="n">
        <f aca="false">COUNTIFS('Votes (table)'!$C$2:$C$1000,A100,'Votes (table)'!$E$2:$E$1000,"non")</f>
        <v>0</v>
      </c>
      <c r="E100" s="8" t="n">
        <f aca="false">COUNTIFS('Votes (table)'!$C$2:$C$1000,A100,'Votes (table)'!$E$2:$E$1000,"blanc")</f>
        <v>0</v>
      </c>
      <c r="F100" s="8" t="n">
        <f aca="false">SUM(C100:E100)</f>
        <v>0</v>
      </c>
    </row>
    <row r="101" customFormat="false" ht="15" hidden="false" customHeight="false" outlineLevel="0" collapsed="false">
      <c r="A101" s="9" t="n">
        <v>46387</v>
      </c>
      <c r="B101" s="8" t="str">
        <f aca="false">T(INDEX('Vote du jour'!$F$2:$F$223,MATCH(A101,'Vote du jour'!$B$2:$B$223,0)))</f>
        <v/>
      </c>
      <c r="C101" s="8" t="n">
        <f aca="false">COUNTIFS('Votes (table)'!$C$2:$C$1000,A101,'Votes (table)'!$E$2:$E$1000,"oui")</f>
        <v>0</v>
      </c>
      <c r="D101" s="8" t="n">
        <f aca="false">COUNTIFS('Votes (table)'!$C$2:$C$1000,A101,'Votes (table)'!$E$2:$E$1000,"non")</f>
        <v>0</v>
      </c>
      <c r="E101" s="8" t="n">
        <f aca="false">COUNTIFS('Votes (table)'!$C$2:$C$1000,A101,'Votes (table)'!$E$2:$E$1000,"blanc")</f>
        <v>0</v>
      </c>
      <c r="F101" s="8" t="n">
        <f aca="false">SUM(C101:E101)</f>
        <v>0</v>
      </c>
    </row>
    <row r="102" customFormat="false" ht="15" hidden="false" customHeight="false" outlineLevel="0" collapsed="false">
      <c r="A102" s="9" t="n">
        <v>46388</v>
      </c>
      <c r="B102" s="8" t="str">
        <f aca="false">T(INDEX('Vote du jour'!$F$2:$F$223,MATCH(A102,'Vote du jour'!$B$2:$B$223,0)))</f>
        <v/>
      </c>
      <c r="C102" s="8" t="n">
        <f aca="false">COUNTIFS('Votes (table)'!$C$2:$C$1000,A102,'Votes (table)'!$E$2:$E$1000,"oui")</f>
        <v>0</v>
      </c>
      <c r="D102" s="8" t="n">
        <f aca="false">COUNTIFS('Votes (table)'!$C$2:$C$1000,A102,'Votes (table)'!$E$2:$E$1000,"non")</f>
        <v>0</v>
      </c>
      <c r="E102" s="8" t="n">
        <f aca="false">COUNTIFS('Votes (table)'!$C$2:$C$1000,A102,'Votes (table)'!$E$2:$E$1000,"blanc")</f>
        <v>0</v>
      </c>
      <c r="F102" s="8" t="n">
        <f aca="false">SUM(C102:E102)</f>
        <v>0</v>
      </c>
    </row>
    <row r="103" customFormat="false" ht="15" hidden="false" customHeight="false" outlineLevel="0" collapsed="false">
      <c r="A103" s="9" t="n">
        <v>46389</v>
      </c>
      <c r="B103" s="8" t="str">
        <f aca="false">T(INDEX('Vote du jour'!$F$2:$F$223,MATCH(A103,'Vote du jour'!$B$2:$B$223,0)))</f>
        <v/>
      </c>
      <c r="C103" s="8" t="n">
        <f aca="false">COUNTIFS('Votes (table)'!$C$2:$C$1000,A103,'Votes (table)'!$E$2:$E$1000,"oui")</f>
        <v>0</v>
      </c>
      <c r="D103" s="8" t="n">
        <f aca="false">COUNTIFS('Votes (table)'!$C$2:$C$1000,A103,'Votes (table)'!$E$2:$E$1000,"non")</f>
        <v>0</v>
      </c>
      <c r="E103" s="8" t="n">
        <f aca="false">COUNTIFS('Votes (table)'!$C$2:$C$1000,A103,'Votes (table)'!$E$2:$E$1000,"blanc")</f>
        <v>0</v>
      </c>
      <c r="F103" s="8" t="n">
        <f aca="false">SUM(C103:E103)</f>
        <v>0</v>
      </c>
    </row>
    <row r="104" customFormat="false" ht="15" hidden="false" customHeight="false" outlineLevel="0" collapsed="false">
      <c r="A104" s="9" t="n">
        <v>46390</v>
      </c>
      <c r="B104" s="8" t="str">
        <f aca="false">T(INDEX('Vote du jour'!$F$2:$F$223,MATCH(A104,'Vote du jour'!$B$2:$B$223,0)))</f>
        <v/>
      </c>
      <c r="C104" s="8" t="n">
        <f aca="false">COUNTIFS('Votes (table)'!$C$2:$C$1000,A104,'Votes (table)'!$E$2:$E$1000,"oui")</f>
        <v>0</v>
      </c>
      <c r="D104" s="8" t="n">
        <f aca="false">COUNTIFS('Votes (table)'!$C$2:$C$1000,A104,'Votes (table)'!$E$2:$E$1000,"non")</f>
        <v>0</v>
      </c>
      <c r="E104" s="8" t="n">
        <f aca="false">COUNTIFS('Votes (table)'!$C$2:$C$1000,A104,'Votes (table)'!$E$2:$E$1000,"blanc")</f>
        <v>0</v>
      </c>
      <c r="F104" s="8" t="n">
        <f aca="false">SUM(C104:E104)</f>
        <v>0</v>
      </c>
    </row>
    <row r="105" customFormat="false" ht="15" hidden="false" customHeight="false" outlineLevel="0" collapsed="false">
      <c r="A105" s="9" t="n">
        <v>46391</v>
      </c>
      <c r="B105" s="8" t="str">
        <f aca="false">T(INDEX('Vote du jour'!$F$2:$F$223,MATCH(A105,'Vote du jour'!$B$2:$B$223,0)))</f>
        <v/>
      </c>
      <c r="C105" s="8" t="n">
        <f aca="false">COUNTIFS('Votes (table)'!$C$2:$C$1000,A105,'Votes (table)'!$E$2:$E$1000,"oui")</f>
        <v>0</v>
      </c>
      <c r="D105" s="8" t="n">
        <f aca="false">COUNTIFS('Votes (table)'!$C$2:$C$1000,A105,'Votes (table)'!$E$2:$E$1000,"non")</f>
        <v>0</v>
      </c>
      <c r="E105" s="8" t="n">
        <f aca="false">COUNTIFS('Votes (table)'!$C$2:$C$1000,A105,'Votes (table)'!$E$2:$E$1000,"blanc")</f>
        <v>0</v>
      </c>
      <c r="F105" s="8" t="n">
        <f aca="false">SUM(C105:E105)</f>
        <v>0</v>
      </c>
    </row>
    <row r="106" customFormat="false" ht="15" hidden="false" customHeight="false" outlineLevel="0" collapsed="false">
      <c r="A106" s="9" t="n">
        <v>46392</v>
      </c>
      <c r="B106" s="8" t="str">
        <f aca="false">T(INDEX('Vote du jour'!$F$2:$F$223,MATCH(A106,'Vote du jour'!$B$2:$B$223,0)))</f>
        <v/>
      </c>
      <c r="C106" s="8" t="n">
        <f aca="false">COUNTIFS('Votes (table)'!$C$2:$C$1000,A106,'Votes (table)'!$E$2:$E$1000,"oui")</f>
        <v>0</v>
      </c>
      <c r="D106" s="8" t="n">
        <f aca="false">COUNTIFS('Votes (table)'!$C$2:$C$1000,A106,'Votes (table)'!$E$2:$E$1000,"non")</f>
        <v>0</v>
      </c>
      <c r="E106" s="8" t="n">
        <f aca="false">COUNTIFS('Votes (table)'!$C$2:$C$1000,A106,'Votes (table)'!$E$2:$E$1000,"blanc")</f>
        <v>0</v>
      </c>
      <c r="F106" s="8" t="n">
        <f aca="false">SUM(C106:E106)</f>
        <v>0</v>
      </c>
    </row>
    <row r="107" customFormat="false" ht="15" hidden="false" customHeight="false" outlineLevel="0" collapsed="false">
      <c r="A107" s="9" t="n">
        <v>46393</v>
      </c>
      <c r="B107" s="8" t="str">
        <f aca="false">T(INDEX('Vote du jour'!$F$2:$F$223,MATCH(A107,'Vote du jour'!$B$2:$B$223,0)))</f>
        <v/>
      </c>
      <c r="C107" s="8" t="n">
        <f aca="false">COUNTIFS('Votes (table)'!$C$2:$C$1000,A107,'Votes (table)'!$E$2:$E$1000,"oui")</f>
        <v>0</v>
      </c>
      <c r="D107" s="8" t="n">
        <f aca="false">COUNTIFS('Votes (table)'!$C$2:$C$1000,A107,'Votes (table)'!$E$2:$E$1000,"non")</f>
        <v>0</v>
      </c>
      <c r="E107" s="8" t="n">
        <f aca="false">COUNTIFS('Votes (table)'!$C$2:$C$1000,A107,'Votes (table)'!$E$2:$E$1000,"blanc")</f>
        <v>0</v>
      </c>
      <c r="F107" s="8" t="n">
        <f aca="false">SUM(C107:E107)</f>
        <v>0</v>
      </c>
    </row>
    <row r="108" customFormat="false" ht="15" hidden="false" customHeight="false" outlineLevel="0" collapsed="false">
      <c r="A108" s="9" t="n">
        <v>46394</v>
      </c>
      <c r="B108" s="8" t="str">
        <f aca="false">T(INDEX('Vote du jour'!$F$2:$F$223,MATCH(A108,'Vote du jour'!$B$2:$B$223,0)))</f>
        <v/>
      </c>
      <c r="C108" s="8" t="n">
        <f aca="false">COUNTIFS('Votes (table)'!$C$2:$C$1000,A108,'Votes (table)'!$E$2:$E$1000,"oui")</f>
        <v>0</v>
      </c>
      <c r="D108" s="8" t="n">
        <f aca="false">COUNTIFS('Votes (table)'!$C$2:$C$1000,A108,'Votes (table)'!$E$2:$E$1000,"non")</f>
        <v>0</v>
      </c>
      <c r="E108" s="8" t="n">
        <f aca="false">COUNTIFS('Votes (table)'!$C$2:$C$1000,A108,'Votes (table)'!$E$2:$E$1000,"blanc")</f>
        <v>0</v>
      </c>
      <c r="F108" s="8" t="n">
        <f aca="false">SUM(C108:E108)</f>
        <v>0</v>
      </c>
    </row>
    <row r="109" customFormat="false" ht="15" hidden="false" customHeight="false" outlineLevel="0" collapsed="false">
      <c r="A109" s="9" t="n">
        <v>46395</v>
      </c>
      <c r="B109" s="8" t="str">
        <f aca="false">T(INDEX('Vote du jour'!$F$2:$F$223,MATCH(A109,'Vote du jour'!$B$2:$B$223,0)))</f>
        <v/>
      </c>
      <c r="C109" s="8" t="n">
        <f aca="false">COUNTIFS('Votes (table)'!$C$2:$C$1000,A109,'Votes (table)'!$E$2:$E$1000,"oui")</f>
        <v>0</v>
      </c>
      <c r="D109" s="8" t="n">
        <f aca="false">COUNTIFS('Votes (table)'!$C$2:$C$1000,A109,'Votes (table)'!$E$2:$E$1000,"non")</f>
        <v>0</v>
      </c>
      <c r="E109" s="8" t="n">
        <f aca="false">COUNTIFS('Votes (table)'!$C$2:$C$1000,A109,'Votes (table)'!$E$2:$E$1000,"blanc")</f>
        <v>0</v>
      </c>
      <c r="F109" s="8" t="n">
        <f aca="false">SUM(C109:E109)</f>
        <v>0</v>
      </c>
    </row>
    <row r="110" customFormat="false" ht="15" hidden="false" customHeight="false" outlineLevel="0" collapsed="false">
      <c r="A110" s="9" t="n">
        <v>46396</v>
      </c>
      <c r="B110" s="8" t="str">
        <f aca="false">T(INDEX('Vote du jour'!$F$2:$F$223,MATCH(A110,'Vote du jour'!$B$2:$B$223,0)))</f>
        <v/>
      </c>
      <c r="C110" s="8" t="n">
        <f aca="false">COUNTIFS('Votes (table)'!$C$2:$C$1000,A110,'Votes (table)'!$E$2:$E$1000,"oui")</f>
        <v>0</v>
      </c>
      <c r="D110" s="8" t="n">
        <f aca="false">COUNTIFS('Votes (table)'!$C$2:$C$1000,A110,'Votes (table)'!$E$2:$E$1000,"non")</f>
        <v>0</v>
      </c>
      <c r="E110" s="8" t="n">
        <f aca="false">COUNTIFS('Votes (table)'!$C$2:$C$1000,A110,'Votes (table)'!$E$2:$E$1000,"blanc")</f>
        <v>0</v>
      </c>
      <c r="F110" s="8" t="n">
        <f aca="false">SUM(C110:E110)</f>
        <v>0</v>
      </c>
    </row>
    <row r="111" customFormat="false" ht="15" hidden="false" customHeight="false" outlineLevel="0" collapsed="false">
      <c r="A111" s="9" t="n">
        <v>46397</v>
      </c>
      <c r="B111" s="8" t="str">
        <f aca="false">T(INDEX('Vote du jour'!$F$2:$F$223,MATCH(A111,'Vote du jour'!$B$2:$B$223,0)))</f>
        <v/>
      </c>
      <c r="C111" s="8" t="n">
        <f aca="false">COUNTIFS('Votes (table)'!$C$2:$C$1000,A111,'Votes (table)'!$E$2:$E$1000,"oui")</f>
        <v>0</v>
      </c>
      <c r="D111" s="8" t="n">
        <f aca="false">COUNTIFS('Votes (table)'!$C$2:$C$1000,A111,'Votes (table)'!$E$2:$E$1000,"non")</f>
        <v>0</v>
      </c>
      <c r="E111" s="8" t="n">
        <f aca="false">COUNTIFS('Votes (table)'!$C$2:$C$1000,A111,'Votes (table)'!$E$2:$E$1000,"blanc")</f>
        <v>0</v>
      </c>
      <c r="F111" s="8" t="n">
        <f aca="false">SUM(C111:E111)</f>
        <v>0</v>
      </c>
    </row>
    <row r="112" customFormat="false" ht="15" hidden="false" customHeight="false" outlineLevel="0" collapsed="false">
      <c r="A112" s="9" t="n">
        <v>46398</v>
      </c>
      <c r="B112" s="8" t="str">
        <f aca="false">T(INDEX('Vote du jour'!$F$2:$F$223,MATCH(A112,'Vote du jour'!$B$2:$B$223,0)))</f>
        <v/>
      </c>
      <c r="C112" s="8" t="n">
        <f aca="false">COUNTIFS('Votes (table)'!$C$2:$C$1000,A112,'Votes (table)'!$E$2:$E$1000,"oui")</f>
        <v>0</v>
      </c>
      <c r="D112" s="8" t="n">
        <f aca="false">COUNTIFS('Votes (table)'!$C$2:$C$1000,A112,'Votes (table)'!$E$2:$E$1000,"non")</f>
        <v>0</v>
      </c>
      <c r="E112" s="8" t="n">
        <f aca="false">COUNTIFS('Votes (table)'!$C$2:$C$1000,A112,'Votes (table)'!$E$2:$E$1000,"blanc")</f>
        <v>0</v>
      </c>
      <c r="F112" s="8" t="n">
        <f aca="false">SUM(C112:E112)</f>
        <v>0</v>
      </c>
    </row>
    <row r="113" customFormat="false" ht="15" hidden="false" customHeight="false" outlineLevel="0" collapsed="false">
      <c r="A113" s="9" t="n">
        <v>46399</v>
      </c>
      <c r="B113" s="8" t="str">
        <f aca="false">T(INDEX('Vote du jour'!$F$2:$F$223,MATCH(A113,'Vote du jour'!$B$2:$B$223,0)))</f>
        <v/>
      </c>
      <c r="C113" s="8" t="n">
        <f aca="false">COUNTIFS('Votes (table)'!$C$2:$C$1000,A113,'Votes (table)'!$E$2:$E$1000,"oui")</f>
        <v>0</v>
      </c>
      <c r="D113" s="8" t="n">
        <f aca="false">COUNTIFS('Votes (table)'!$C$2:$C$1000,A113,'Votes (table)'!$E$2:$E$1000,"non")</f>
        <v>0</v>
      </c>
      <c r="E113" s="8" t="n">
        <f aca="false">COUNTIFS('Votes (table)'!$C$2:$C$1000,A113,'Votes (table)'!$E$2:$E$1000,"blanc")</f>
        <v>0</v>
      </c>
      <c r="F113" s="8" t="n">
        <f aca="false">SUM(C113:E113)</f>
        <v>0</v>
      </c>
    </row>
    <row r="114" customFormat="false" ht="15" hidden="false" customHeight="false" outlineLevel="0" collapsed="false">
      <c r="A114" s="9" t="n">
        <v>46400</v>
      </c>
      <c r="B114" s="8" t="str">
        <f aca="false">T(INDEX('Vote du jour'!$F$2:$F$223,MATCH(A114,'Vote du jour'!$B$2:$B$223,0)))</f>
        <v/>
      </c>
      <c r="C114" s="8" t="n">
        <f aca="false">COUNTIFS('Votes (table)'!$C$2:$C$1000,A114,'Votes (table)'!$E$2:$E$1000,"oui")</f>
        <v>0</v>
      </c>
      <c r="D114" s="8" t="n">
        <f aca="false">COUNTIFS('Votes (table)'!$C$2:$C$1000,A114,'Votes (table)'!$E$2:$E$1000,"non")</f>
        <v>0</v>
      </c>
      <c r="E114" s="8" t="n">
        <f aca="false">COUNTIFS('Votes (table)'!$C$2:$C$1000,A114,'Votes (table)'!$E$2:$E$1000,"blanc")</f>
        <v>0</v>
      </c>
      <c r="F114" s="8" t="n">
        <f aca="false">SUM(C114:E114)</f>
        <v>0</v>
      </c>
    </row>
    <row r="115" customFormat="false" ht="15" hidden="false" customHeight="false" outlineLevel="0" collapsed="false">
      <c r="A115" s="9" t="n">
        <v>46401</v>
      </c>
      <c r="B115" s="8" t="str">
        <f aca="false">T(INDEX('Vote du jour'!$F$2:$F$223,MATCH(A115,'Vote du jour'!$B$2:$B$223,0)))</f>
        <v/>
      </c>
      <c r="C115" s="8" t="n">
        <f aca="false">COUNTIFS('Votes (table)'!$C$2:$C$1000,A115,'Votes (table)'!$E$2:$E$1000,"oui")</f>
        <v>0</v>
      </c>
      <c r="D115" s="8" t="n">
        <f aca="false">COUNTIFS('Votes (table)'!$C$2:$C$1000,A115,'Votes (table)'!$E$2:$E$1000,"non")</f>
        <v>0</v>
      </c>
      <c r="E115" s="8" t="n">
        <f aca="false">COUNTIFS('Votes (table)'!$C$2:$C$1000,A115,'Votes (table)'!$E$2:$E$1000,"blanc")</f>
        <v>0</v>
      </c>
      <c r="F115" s="8" t="n">
        <f aca="false">SUM(C115:E115)</f>
        <v>0</v>
      </c>
    </row>
    <row r="116" customFormat="false" ht="15" hidden="false" customHeight="false" outlineLevel="0" collapsed="false">
      <c r="A116" s="9" t="n">
        <v>46402</v>
      </c>
      <c r="B116" s="8" t="str">
        <f aca="false">T(INDEX('Vote du jour'!$F$2:$F$223,MATCH(A116,'Vote du jour'!$B$2:$B$223,0)))</f>
        <v/>
      </c>
      <c r="C116" s="8" t="n">
        <f aca="false">COUNTIFS('Votes (table)'!$C$2:$C$1000,A116,'Votes (table)'!$E$2:$E$1000,"oui")</f>
        <v>0</v>
      </c>
      <c r="D116" s="8" t="n">
        <f aca="false">COUNTIFS('Votes (table)'!$C$2:$C$1000,A116,'Votes (table)'!$E$2:$E$1000,"non")</f>
        <v>0</v>
      </c>
      <c r="E116" s="8" t="n">
        <f aca="false">COUNTIFS('Votes (table)'!$C$2:$C$1000,A116,'Votes (table)'!$E$2:$E$1000,"blanc")</f>
        <v>0</v>
      </c>
      <c r="F116" s="8" t="n">
        <f aca="false">SUM(C116:E116)</f>
        <v>0</v>
      </c>
    </row>
    <row r="117" customFormat="false" ht="15" hidden="false" customHeight="false" outlineLevel="0" collapsed="false">
      <c r="A117" s="9" t="n">
        <v>46403</v>
      </c>
      <c r="B117" s="8" t="str">
        <f aca="false">T(INDEX('Vote du jour'!$F$2:$F$223,MATCH(A117,'Vote du jour'!$B$2:$B$223,0)))</f>
        <v/>
      </c>
      <c r="C117" s="8" t="n">
        <f aca="false">COUNTIFS('Votes (table)'!$C$2:$C$1000,A117,'Votes (table)'!$E$2:$E$1000,"oui")</f>
        <v>0</v>
      </c>
      <c r="D117" s="8" t="n">
        <f aca="false">COUNTIFS('Votes (table)'!$C$2:$C$1000,A117,'Votes (table)'!$E$2:$E$1000,"non")</f>
        <v>0</v>
      </c>
      <c r="E117" s="8" t="n">
        <f aca="false">COUNTIFS('Votes (table)'!$C$2:$C$1000,A117,'Votes (table)'!$E$2:$E$1000,"blanc")</f>
        <v>0</v>
      </c>
      <c r="F117" s="8" t="n">
        <f aca="false">SUM(C117:E117)</f>
        <v>0</v>
      </c>
    </row>
    <row r="118" customFormat="false" ht="15" hidden="false" customHeight="false" outlineLevel="0" collapsed="false">
      <c r="A118" s="9" t="n">
        <v>46404</v>
      </c>
      <c r="B118" s="8" t="str">
        <f aca="false">T(INDEX('Vote du jour'!$F$2:$F$223,MATCH(A118,'Vote du jour'!$B$2:$B$223,0)))</f>
        <v/>
      </c>
      <c r="C118" s="8" t="n">
        <f aca="false">COUNTIFS('Votes (table)'!$C$2:$C$1000,A118,'Votes (table)'!$E$2:$E$1000,"oui")</f>
        <v>0</v>
      </c>
      <c r="D118" s="8" t="n">
        <f aca="false">COUNTIFS('Votes (table)'!$C$2:$C$1000,A118,'Votes (table)'!$E$2:$E$1000,"non")</f>
        <v>0</v>
      </c>
      <c r="E118" s="8" t="n">
        <f aca="false">COUNTIFS('Votes (table)'!$C$2:$C$1000,A118,'Votes (table)'!$E$2:$E$1000,"blanc")</f>
        <v>0</v>
      </c>
      <c r="F118" s="8" t="n">
        <f aca="false">SUM(C118:E118)</f>
        <v>0</v>
      </c>
    </row>
    <row r="119" customFormat="false" ht="15" hidden="false" customHeight="false" outlineLevel="0" collapsed="false">
      <c r="A119" s="9" t="n">
        <v>46405</v>
      </c>
      <c r="B119" s="8" t="str">
        <f aca="false">T(INDEX('Vote du jour'!$F$2:$F$223,MATCH(A119,'Vote du jour'!$B$2:$B$223,0)))</f>
        <v/>
      </c>
      <c r="C119" s="8" t="n">
        <f aca="false">COUNTIFS('Votes (table)'!$C$2:$C$1000,A119,'Votes (table)'!$E$2:$E$1000,"oui")</f>
        <v>0</v>
      </c>
      <c r="D119" s="8" t="n">
        <f aca="false">COUNTIFS('Votes (table)'!$C$2:$C$1000,A119,'Votes (table)'!$E$2:$E$1000,"non")</f>
        <v>0</v>
      </c>
      <c r="E119" s="8" t="n">
        <f aca="false">COUNTIFS('Votes (table)'!$C$2:$C$1000,A119,'Votes (table)'!$E$2:$E$1000,"blanc")</f>
        <v>0</v>
      </c>
      <c r="F119" s="8" t="n">
        <f aca="false">SUM(C119:E119)</f>
        <v>0</v>
      </c>
    </row>
    <row r="120" customFormat="false" ht="15" hidden="false" customHeight="false" outlineLevel="0" collapsed="false">
      <c r="A120" s="9" t="n">
        <v>46406</v>
      </c>
      <c r="B120" s="8" t="str">
        <f aca="false">T(INDEX('Vote du jour'!$F$2:$F$223,MATCH(A120,'Vote du jour'!$B$2:$B$223,0)))</f>
        <v/>
      </c>
      <c r="C120" s="8" t="n">
        <f aca="false">COUNTIFS('Votes (table)'!$C$2:$C$1000,A120,'Votes (table)'!$E$2:$E$1000,"oui")</f>
        <v>0</v>
      </c>
      <c r="D120" s="8" t="n">
        <f aca="false">COUNTIFS('Votes (table)'!$C$2:$C$1000,A120,'Votes (table)'!$E$2:$E$1000,"non")</f>
        <v>0</v>
      </c>
      <c r="E120" s="8" t="n">
        <f aca="false">COUNTIFS('Votes (table)'!$C$2:$C$1000,A120,'Votes (table)'!$E$2:$E$1000,"blanc")</f>
        <v>0</v>
      </c>
      <c r="F120" s="8" t="n">
        <f aca="false">SUM(C120:E120)</f>
        <v>0</v>
      </c>
    </row>
    <row r="121" customFormat="false" ht="15" hidden="false" customHeight="false" outlineLevel="0" collapsed="false">
      <c r="A121" s="9" t="n">
        <v>46407</v>
      </c>
      <c r="B121" s="8" t="str">
        <f aca="false">T(INDEX('Vote du jour'!$F$2:$F$223,MATCH(A121,'Vote du jour'!$B$2:$B$223,0)))</f>
        <v/>
      </c>
      <c r="C121" s="8" t="n">
        <f aca="false">COUNTIFS('Votes (table)'!$C$2:$C$1000,A121,'Votes (table)'!$E$2:$E$1000,"oui")</f>
        <v>0</v>
      </c>
      <c r="D121" s="8" t="n">
        <f aca="false">COUNTIFS('Votes (table)'!$C$2:$C$1000,A121,'Votes (table)'!$E$2:$E$1000,"non")</f>
        <v>0</v>
      </c>
      <c r="E121" s="8" t="n">
        <f aca="false">COUNTIFS('Votes (table)'!$C$2:$C$1000,A121,'Votes (table)'!$E$2:$E$1000,"blanc")</f>
        <v>0</v>
      </c>
      <c r="F121" s="8" t="n">
        <f aca="false">SUM(C121:E121)</f>
        <v>0</v>
      </c>
    </row>
    <row r="122" customFormat="false" ht="15" hidden="false" customHeight="false" outlineLevel="0" collapsed="false">
      <c r="A122" s="9" t="n">
        <v>46408</v>
      </c>
      <c r="B122" s="8" t="str">
        <f aca="false">T(INDEX('Vote du jour'!$F$2:$F$223,MATCH(A122,'Vote du jour'!$B$2:$B$223,0)))</f>
        <v/>
      </c>
      <c r="C122" s="8" t="n">
        <f aca="false">COUNTIFS('Votes (table)'!$C$2:$C$1000,A122,'Votes (table)'!$E$2:$E$1000,"oui")</f>
        <v>0</v>
      </c>
      <c r="D122" s="8" t="n">
        <f aca="false">COUNTIFS('Votes (table)'!$C$2:$C$1000,A122,'Votes (table)'!$E$2:$E$1000,"non")</f>
        <v>0</v>
      </c>
      <c r="E122" s="8" t="n">
        <f aca="false">COUNTIFS('Votes (table)'!$C$2:$C$1000,A122,'Votes (table)'!$E$2:$E$1000,"blanc")</f>
        <v>0</v>
      </c>
      <c r="F122" s="8" t="n">
        <f aca="false">SUM(C122:E122)</f>
        <v>0</v>
      </c>
    </row>
    <row r="123" customFormat="false" ht="15" hidden="false" customHeight="false" outlineLevel="0" collapsed="false">
      <c r="A123" s="9" t="n">
        <v>46409</v>
      </c>
      <c r="B123" s="8" t="str">
        <f aca="false">T(INDEX('Vote du jour'!$F$2:$F$223,MATCH(A123,'Vote du jour'!$B$2:$B$223,0)))</f>
        <v/>
      </c>
      <c r="C123" s="8" t="n">
        <f aca="false">COUNTIFS('Votes (table)'!$C$2:$C$1000,A123,'Votes (table)'!$E$2:$E$1000,"oui")</f>
        <v>0</v>
      </c>
      <c r="D123" s="8" t="n">
        <f aca="false">COUNTIFS('Votes (table)'!$C$2:$C$1000,A123,'Votes (table)'!$E$2:$E$1000,"non")</f>
        <v>0</v>
      </c>
      <c r="E123" s="8" t="n">
        <f aca="false">COUNTIFS('Votes (table)'!$C$2:$C$1000,A123,'Votes (table)'!$E$2:$E$1000,"blanc")</f>
        <v>0</v>
      </c>
      <c r="F123" s="8" t="n">
        <f aca="false">SUM(C123:E123)</f>
        <v>0</v>
      </c>
    </row>
    <row r="124" customFormat="false" ht="15" hidden="false" customHeight="false" outlineLevel="0" collapsed="false">
      <c r="A124" s="9" t="n">
        <v>46410</v>
      </c>
      <c r="B124" s="8" t="str">
        <f aca="false">T(INDEX('Vote du jour'!$F$2:$F$223,MATCH(A124,'Vote du jour'!$B$2:$B$223,0)))</f>
        <v/>
      </c>
      <c r="C124" s="8" t="n">
        <f aca="false">COUNTIFS('Votes (table)'!$C$2:$C$1000,A124,'Votes (table)'!$E$2:$E$1000,"oui")</f>
        <v>0</v>
      </c>
      <c r="D124" s="8" t="n">
        <f aca="false">COUNTIFS('Votes (table)'!$C$2:$C$1000,A124,'Votes (table)'!$E$2:$E$1000,"non")</f>
        <v>0</v>
      </c>
      <c r="E124" s="8" t="n">
        <f aca="false">COUNTIFS('Votes (table)'!$C$2:$C$1000,A124,'Votes (table)'!$E$2:$E$1000,"blanc")</f>
        <v>0</v>
      </c>
      <c r="F124" s="8" t="n">
        <f aca="false">SUM(C124:E124)</f>
        <v>0</v>
      </c>
    </row>
    <row r="125" customFormat="false" ht="15" hidden="false" customHeight="false" outlineLevel="0" collapsed="false">
      <c r="A125" s="9" t="n">
        <v>46411</v>
      </c>
      <c r="B125" s="8" t="str">
        <f aca="false">T(INDEX('Vote du jour'!$F$2:$F$223,MATCH(A125,'Vote du jour'!$B$2:$B$223,0)))</f>
        <v/>
      </c>
      <c r="C125" s="8" t="n">
        <f aca="false">COUNTIFS('Votes (table)'!$C$2:$C$1000,A125,'Votes (table)'!$E$2:$E$1000,"oui")</f>
        <v>0</v>
      </c>
      <c r="D125" s="8" t="n">
        <f aca="false">COUNTIFS('Votes (table)'!$C$2:$C$1000,A125,'Votes (table)'!$E$2:$E$1000,"non")</f>
        <v>0</v>
      </c>
      <c r="E125" s="8" t="n">
        <f aca="false">COUNTIFS('Votes (table)'!$C$2:$C$1000,A125,'Votes (table)'!$E$2:$E$1000,"blanc")</f>
        <v>0</v>
      </c>
      <c r="F125" s="8" t="n">
        <f aca="false">SUM(C125:E125)</f>
        <v>0</v>
      </c>
    </row>
    <row r="126" customFormat="false" ht="15" hidden="false" customHeight="false" outlineLevel="0" collapsed="false">
      <c r="A126" s="9" t="n">
        <v>46412</v>
      </c>
      <c r="B126" s="8" t="str">
        <f aca="false">T(INDEX('Vote du jour'!$F$2:$F$223,MATCH(A126,'Vote du jour'!$B$2:$B$223,0)))</f>
        <v/>
      </c>
      <c r="C126" s="8" t="n">
        <f aca="false">COUNTIFS('Votes (table)'!$C$2:$C$1000,A126,'Votes (table)'!$E$2:$E$1000,"oui")</f>
        <v>0</v>
      </c>
      <c r="D126" s="8" t="n">
        <f aca="false">COUNTIFS('Votes (table)'!$C$2:$C$1000,A126,'Votes (table)'!$E$2:$E$1000,"non")</f>
        <v>0</v>
      </c>
      <c r="E126" s="8" t="n">
        <f aca="false">COUNTIFS('Votes (table)'!$C$2:$C$1000,A126,'Votes (table)'!$E$2:$E$1000,"blanc")</f>
        <v>0</v>
      </c>
      <c r="F126" s="8" t="n">
        <f aca="false">SUM(C126:E126)</f>
        <v>0</v>
      </c>
    </row>
    <row r="127" customFormat="false" ht="15" hidden="false" customHeight="false" outlineLevel="0" collapsed="false">
      <c r="A127" s="9" t="n">
        <v>46413</v>
      </c>
      <c r="B127" s="8" t="str">
        <f aca="false">T(INDEX('Vote du jour'!$F$2:$F$223,MATCH(A127,'Vote du jour'!$B$2:$B$223,0)))</f>
        <v/>
      </c>
      <c r="C127" s="8" t="n">
        <f aca="false">COUNTIFS('Votes (table)'!$C$2:$C$1000,A127,'Votes (table)'!$E$2:$E$1000,"oui")</f>
        <v>0</v>
      </c>
      <c r="D127" s="8" t="n">
        <f aca="false">COUNTIFS('Votes (table)'!$C$2:$C$1000,A127,'Votes (table)'!$E$2:$E$1000,"non")</f>
        <v>0</v>
      </c>
      <c r="E127" s="8" t="n">
        <f aca="false">COUNTIFS('Votes (table)'!$C$2:$C$1000,A127,'Votes (table)'!$E$2:$E$1000,"blanc")</f>
        <v>0</v>
      </c>
      <c r="F127" s="8" t="n">
        <f aca="false">SUM(C127:E127)</f>
        <v>0</v>
      </c>
    </row>
    <row r="128" customFormat="false" ht="15" hidden="false" customHeight="false" outlineLevel="0" collapsed="false">
      <c r="A128" s="9" t="n">
        <v>46414</v>
      </c>
      <c r="B128" s="8" t="str">
        <f aca="false">T(INDEX('Vote du jour'!$F$2:$F$223,MATCH(A128,'Vote du jour'!$B$2:$B$223,0)))</f>
        <v/>
      </c>
      <c r="C128" s="8" t="n">
        <f aca="false">COUNTIFS('Votes (table)'!$C$2:$C$1000,A128,'Votes (table)'!$E$2:$E$1000,"oui")</f>
        <v>0</v>
      </c>
      <c r="D128" s="8" t="n">
        <f aca="false">COUNTIFS('Votes (table)'!$C$2:$C$1000,A128,'Votes (table)'!$E$2:$E$1000,"non")</f>
        <v>0</v>
      </c>
      <c r="E128" s="8" t="n">
        <f aca="false">COUNTIFS('Votes (table)'!$C$2:$C$1000,A128,'Votes (table)'!$E$2:$E$1000,"blanc")</f>
        <v>0</v>
      </c>
      <c r="F128" s="8" t="n">
        <f aca="false">SUM(C128:E128)</f>
        <v>0</v>
      </c>
    </row>
    <row r="129" customFormat="false" ht="15" hidden="false" customHeight="false" outlineLevel="0" collapsed="false">
      <c r="A129" s="9" t="n">
        <v>46415</v>
      </c>
      <c r="B129" s="8" t="str">
        <f aca="false">T(INDEX('Vote du jour'!$F$2:$F$223,MATCH(A129,'Vote du jour'!$B$2:$B$223,0)))</f>
        <v/>
      </c>
      <c r="C129" s="8" t="n">
        <f aca="false">COUNTIFS('Votes (table)'!$C$2:$C$1000,A129,'Votes (table)'!$E$2:$E$1000,"oui")</f>
        <v>0</v>
      </c>
      <c r="D129" s="8" t="n">
        <f aca="false">COUNTIFS('Votes (table)'!$C$2:$C$1000,A129,'Votes (table)'!$E$2:$E$1000,"non")</f>
        <v>0</v>
      </c>
      <c r="E129" s="8" t="n">
        <f aca="false">COUNTIFS('Votes (table)'!$C$2:$C$1000,A129,'Votes (table)'!$E$2:$E$1000,"blanc")</f>
        <v>0</v>
      </c>
      <c r="F129" s="8" t="n">
        <f aca="false">SUM(C129:E129)</f>
        <v>0</v>
      </c>
    </row>
    <row r="130" customFormat="false" ht="15" hidden="false" customHeight="false" outlineLevel="0" collapsed="false">
      <c r="A130" s="9" t="n">
        <v>46416</v>
      </c>
      <c r="B130" s="8" t="str">
        <f aca="false">T(INDEX('Vote du jour'!$F$2:$F$223,MATCH(A130,'Vote du jour'!$B$2:$B$223,0)))</f>
        <v/>
      </c>
      <c r="C130" s="8" t="n">
        <f aca="false">COUNTIFS('Votes (table)'!$C$2:$C$1000,A130,'Votes (table)'!$E$2:$E$1000,"oui")</f>
        <v>0</v>
      </c>
      <c r="D130" s="8" t="n">
        <f aca="false">COUNTIFS('Votes (table)'!$C$2:$C$1000,A130,'Votes (table)'!$E$2:$E$1000,"non")</f>
        <v>0</v>
      </c>
      <c r="E130" s="8" t="n">
        <f aca="false">COUNTIFS('Votes (table)'!$C$2:$C$1000,A130,'Votes (table)'!$E$2:$E$1000,"blanc")</f>
        <v>0</v>
      </c>
      <c r="F130" s="8" t="n">
        <f aca="false">SUM(C130:E130)</f>
        <v>0</v>
      </c>
    </row>
    <row r="131" customFormat="false" ht="15" hidden="false" customHeight="false" outlineLevel="0" collapsed="false">
      <c r="A131" s="9" t="n">
        <v>46417</v>
      </c>
      <c r="B131" s="8" t="str">
        <f aca="false">T(INDEX('Vote du jour'!$F$2:$F$223,MATCH(A131,'Vote du jour'!$B$2:$B$223,0)))</f>
        <v/>
      </c>
      <c r="C131" s="8" t="n">
        <f aca="false">COUNTIFS('Votes (table)'!$C$2:$C$1000,A131,'Votes (table)'!$E$2:$E$1000,"oui")</f>
        <v>0</v>
      </c>
      <c r="D131" s="8" t="n">
        <f aca="false">COUNTIFS('Votes (table)'!$C$2:$C$1000,A131,'Votes (table)'!$E$2:$E$1000,"non")</f>
        <v>0</v>
      </c>
      <c r="E131" s="8" t="n">
        <f aca="false">COUNTIFS('Votes (table)'!$C$2:$C$1000,A131,'Votes (table)'!$E$2:$E$1000,"blanc")</f>
        <v>0</v>
      </c>
      <c r="F131" s="8" t="n">
        <f aca="false">SUM(C131:E131)</f>
        <v>0</v>
      </c>
    </row>
    <row r="132" customFormat="false" ht="15" hidden="false" customHeight="false" outlineLevel="0" collapsed="false">
      <c r="A132" s="9" t="n">
        <v>46418</v>
      </c>
      <c r="B132" s="8" t="str">
        <f aca="false">T(INDEX('Vote du jour'!$F$2:$F$223,MATCH(A132,'Vote du jour'!$B$2:$B$223,0)))</f>
        <v/>
      </c>
      <c r="C132" s="8" t="n">
        <f aca="false">COUNTIFS('Votes (table)'!$C$2:$C$1000,A132,'Votes (table)'!$E$2:$E$1000,"oui")</f>
        <v>0</v>
      </c>
      <c r="D132" s="8" t="n">
        <f aca="false">COUNTIFS('Votes (table)'!$C$2:$C$1000,A132,'Votes (table)'!$E$2:$E$1000,"non")</f>
        <v>0</v>
      </c>
      <c r="E132" s="8" t="n">
        <f aca="false">COUNTIFS('Votes (table)'!$C$2:$C$1000,A132,'Votes (table)'!$E$2:$E$1000,"blanc")</f>
        <v>0</v>
      </c>
      <c r="F132" s="8" t="n">
        <f aca="false">SUM(C132:E132)</f>
        <v>0</v>
      </c>
    </row>
    <row r="133" customFormat="false" ht="15" hidden="false" customHeight="false" outlineLevel="0" collapsed="false">
      <c r="A133" s="9" t="n">
        <v>46419</v>
      </c>
      <c r="B133" s="8" t="str">
        <f aca="false">T(INDEX('Vote du jour'!$F$2:$F$223,MATCH(A133,'Vote du jour'!$B$2:$B$223,0)))</f>
        <v/>
      </c>
      <c r="C133" s="8" t="n">
        <f aca="false">COUNTIFS('Votes (table)'!$C$2:$C$1000,A133,'Votes (table)'!$E$2:$E$1000,"oui")</f>
        <v>0</v>
      </c>
      <c r="D133" s="8" t="n">
        <f aca="false">COUNTIFS('Votes (table)'!$C$2:$C$1000,A133,'Votes (table)'!$E$2:$E$1000,"non")</f>
        <v>0</v>
      </c>
      <c r="E133" s="8" t="n">
        <f aca="false">COUNTIFS('Votes (table)'!$C$2:$C$1000,A133,'Votes (table)'!$E$2:$E$1000,"blanc")</f>
        <v>0</v>
      </c>
      <c r="F133" s="8" t="n">
        <f aca="false">SUM(C133:E133)</f>
        <v>0</v>
      </c>
    </row>
    <row r="134" customFormat="false" ht="15" hidden="false" customHeight="false" outlineLevel="0" collapsed="false">
      <c r="A134" s="9" t="n">
        <v>46420</v>
      </c>
      <c r="B134" s="8" t="str">
        <f aca="false">T(INDEX('Vote du jour'!$F$2:$F$223,MATCH(A134,'Vote du jour'!$B$2:$B$223,0)))</f>
        <v/>
      </c>
      <c r="C134" s="8" t="n">
        <f aca="false">COUNTIFS('Votes (table)'!$C$2:$C$1000,A134,'Votes (table)'!$E$2:$E$1000,"oui")</f>
        <v>0</v>
      </c>
      <c r="D134" s="8" t="n">
        <f aca="false">COUNTIFS('Votes (table)'!$C$2:$C$1000,A134,'Votes (table)'!$E$2:$E$1000,"non")</f>
        <v>0</v>
      </c>
      <c r="E134" s="8" t="n">
        <f aca="false">COUNTIFS('Votes (table)'!$C$2:$C$1000,A134,'Votes (table)'!$E$2:$E$1000,"blanc")</f>
        <v>0</v>
      </c>
      <c r="F134" s="8" t="n">
        <f aca="false">SUM(C134:E134)</f>
        <v>0</v>
      </c>
    </row>
    <row r="135" customFormat="false" ht="15" hidden="false" customHeight="false" outlineLevel="0" collapsed="false">
      <c r="A135" s="9" t="n">
        <v>46421</v>
      </c>
      <c r="B135" s="8" t="str">
        <f aca="false">T(INDEX('Vote du jour'!$F$2:$F$223,MATCH(A135,'Vote du jour'!$B$2:$B$223,0)))</f>
        <v/>
      </c>
      <c r="C135" s="8" t="n">
        <f aca="false">COUNTIFS('Votes (table)'!$C$2:$C$1000,A135,'Votes (table)'!$E$2:$E$1000,"oui")</f>
        <v>0</v>
      </c>
      <c r="D135" s="8" t="n">
        <f aca="false">COUNTIFS('Votes (table)'!$C$2:$C$1000,A135,'Votes (table)'!$E$2:$E$1000,"non")</f>
        <v>0</v>
      </c>
      <c r="E135" s="8" t="n">
        <f aca="false">COUNTIFS('Votes (table)'!$C$2:$C$1000,A135,'Votes (table)'!$E$2:$E$1000,"blanc")</f>
        <v>0</v>
      </c>
      <c r="F135" s="8" t="n">
        <f aca="false">SUM(C135:E135)</f>
        <v>0</v>
      </c>
    </row>
    <row r="136" customFormat="false" ht="15" hidden="false" customHeight="false" outlineLevel="0" collapsed="false">
      <c r="A136" s="9" t="n">
        <v>46422</v>
      </c>
      <c r="B136" s="8" t="str">
        <f aca="false">T(INDEX('Vote du jour'!$F$2:$F$223,MATCH(A136,'Vote du jour'!$B$2:$B$223,0)))</f>
        <v/>
      </c>
      <c r="C136" s="8" t="n">
        <f aca="false">COUNTIFS('Votes (table)'!$C$2:$C$1000,A136,'Votes (table)'!$E$2:$E$1000,"oui")</f>
        <v>0</v>
      </c>
      <c r="D136" s="8" t="n">
        <f aca="false">COUNTIFS('Votes (table)'!$C$2:$C$1000,A136,'Votes (table)'!$E$2:$E$1000,"non")</f>
        <v>0</v>
      </c>
      <c r="E136" s="8" t="n">
        <f aca="false">COUNTIFS('Votes (table)'!$C$2:$C$1000,A136,'Votes (table)'!$E$2:$E$1000,"blanc")</f>
        <v>0</v>
      </c>
      <c r="F136" s="8" t="n">
        <f aca="false">SUM(C136:E136)</f>
        <v>0</v>
      </c>
    </row>
    <row r="137" customFormat="false" ht="15" hidden="false" customHeight="false" outlineLevel="0" collapsed="false">
      <c r="A137" s="9" t="n">
        <v>46423</v>
      </c>
      <c r="B137" s="8" t="str">
        <f aca="false">T(INDEX('Vote du jour'!$F$2:$F$223,MATCH(A137,'Vote du jour'!$B$2:$B$223,0)))</f>
        <v/>
      </c>
      <c r="C137" s="8" t="n">
        <f aca="false">COUNTIFS('Votes (table)'!$C$2:$C$1000,A137,'Votes (table)'!$E$2:$E$1000,"oui")</f>
        <v>0</v>
      </c>
      <c r="D137" s="8" t="n">
        <f aca="false">COUNTIFS('Votes (table)'!$C$2:$C$1000,A137,'Votes (table)'!$E$2:$E$1000,"non")</f>
        <v>0</v>
      </c>
      <c r="E137" s="8" t="n">
        <f aca="false">COUNTIFS('Votes (table)'!$C$2:$C$1000,A137,'Votes (table)'!$E$2:$E$1000,"blanc")</f>
        <v>0</v>
      </c>
      <c r="F137" s="8" t="n">
        <f aca="false">SUM(C137:E137)</f>
        <v>0</v>
      </c>
    </row>
    <row r="138" customFormat="false" ht="15" hidden="false" customHeight="false" outlineLevel="0" collapsed="false">
      <c r="A138" s="9" t="n">
        <v>46424</v>
      </c>
      <c r="B138" s="8" t="str">
        <f aca="false">T(INDEX('Vote du jour'!$F$2:$F$223,MATCH(A138,'Vote du jour'!$B$2:$B$223,0)))</f>
        <v/>
      </c>
      <c r="C138" s="8" t="n">
        <f aca="false">COUNTIFS('Votes (table)'!$C$2:$C$1000,A138,'Votes (table)'!$E$2:$E$1000,"oui")</f>
        <v>0</v>
      </c>
      <c r="D138" s="8" t="n">
        <f aca="false">COUNTIFS('Votes (table)'!$C$2:$C$1000,A138,'Votes (table)'!$E$2:$E$1000,"non")</f>
        <v>0</v>
      </c>
      <c r="E138" s="8" t="n">
        <f aca="false">COUNTIFS('Votes (table)'!$C$2:$C$1000,A138,'Votes (table)'!$E$2:$E$1000,"blanc")</f>
        <v>0</v>
      </c>
      <c r="F138" s="8" t="n">
        <f aca="false">SUM(C138:E138)</f>
        <v>0</v>
      </c>
    </row>
    <row r="139" customFormat="false" ht="15" hidden="false" customHeight="false" outlineLevel="0" collapsed="false">
      <c r="A139" s="9" t="n">
        <v>46425</v>
      </c>
      <c r="B139" s="8" t="str">
        <f aca="false">T(INDEX('Vote du jour'!$F$2:$F$223,MATCH(A139,'Vote du jour'!$B$2:$B$223,0)))</f>
        <v/>
      </c>
      <c r="C139" s="8" t="n">
        <f aca="false">COUNTIFS('Votes (table)'!$C$2:$C$1000,A139,'Votes (table)'!$E$2:$E$1000,"oui")</f>
        <v>0</v>
      </c>
      <c r="D139" s="8" t="n">
        <f aca="false">COUNTIFS('Votes (table)'!$C$2:$C$1000,A139,'Votes (table)'!$E$2:$E$1000,"non")</f>
        <v>0</v>
      </c>
      <c r="E139" s="8" t="n">
        <f aca="false">COUNTIFS('Votes (table)'!$C$2:$C$1000,A139,'Votes (table)'!$E$2:$E$1000,"blanc")</f>
        <v>0</v>
      </c>
      <c r="F139" s="8" t="n">
        <f aca="false">SUM(C139:E139)</f>
        <v>0</v>
      </c>
    </row>
    <row r="140" customFormat="false" ht="15" hidden="false" customHeight="false" outlineLevel="0" collapsed="false">
      <c r="A140" s="9" t="n">
        <v>46426</v>
      </c>
      <c r="B140" s="8" t="str">
        <f aca="false">T(INDEX('Vote du jour'!$F$2:$F$223,MATCH(A140,'Vote du jour'!$B$2:$B$223,0)))</f>
        <v/>
      </c>
      <c r="C140" s="8" t="n">
        <f aca="false">COUNTIFS('Votes (table)'!$C$2:$C$1000,A140,'Votes (table)'!$E$2:$E$1000,"oui")</f>
        <v>0</v>
      </c>
      <c r="D140" s="8" t="n">
        <f aca="false">COUNTIFS('Votes (table)'!$C$2:$C$1000,A140,'Votes (table)'!$E$2:$E$1000,"non")</f>
        <v>0</v>
      </c>
      <c r="E140" s="8" t="n">
        <f aca="false">COUNTIFS('Votes (table)'!$C$2:$C$1000,A140,'Votes (table)'!$E$2:$E$1000,"blanc")</f>
        <v>0</v>
      </c>
      <c r="F140" s="8" t="n">
        <f aca="false">SUM(C140:E140)</f>
        <v>0</v>
      </c>
    </row>
    <row r="141" customFormat="false" ht="15" hidden="false" customHeight="false" outlineLevel="0" collapsed="false">
      <c r="A141" s="9" t="n">
        <v>46427</v>
      </c>
      <c r="B141" s="8" t="str">
        <f aca="false">T(INDEX('Vote du jour'!$F$2:$F$223,MATCH(A141,'Vote du jour'!$B$2:$B$223,0)))</f>
        <v/>
      </c>
      <c r="C141" s="8" t="n">
        <f aca="false">COUNTIFS('Votes (table)'!$C$2:$C$1000,A141,'Votes (table)'!$E$2:$E$1000,"oui")</f>
        <v>0</v>
      </c>
      <c r="D141" s="8" t="n">
        <f aca="false">COUNTIFS('Votes (table)'!$C$2:$C$1000,A141,'Votes (table)'!$E$2:$E$1000,"non")</f>
        <v>0</v>
      </c>
      <c r="E141" s="8" t="n">
        <f aca="false">COUNTIFS('Votes (table)'!$C$2:$C$1000,A141,'Votes (table)'!$E$2:$E$1000,"blanc")</f>
        <v>0</v>
      </c>
      <c r="F141" s="8" t="n">
        <f aca="false">SUM(C141:E141)</f>
        <v>0</v>
      </c>
    </row>
    <row r="142" customFormat="false" ht="15" hidden="false" customHeight="false" outlineLevel="0" collapsed="false">
      <c r="A142" s="9" t="n">
        <v>46428</v>
      </c>
      <c r="B142" s="8" t="str">
        <f aca="false">T(INDEX('Vote du jour'!$F$2:$F$223,MATCH(A142,'Vote du jour'!$B$2:$B$223,0)))</f>
        <v/>
      </c>
      <c r="C142" s="8" t="n">
        <f aca="false">COUNTIFS('Votes (table)'!$C$2:$C$1000,A142,'Votes (table)'!$E$2:$E$1000,"oui")</f>
        <v>0</v>
      </c>
      <c r="D142" s="8" t="n">
        <f aca="false">COUNTIFS('Votes (table)'!$C$2:$C$1000,A142,'Votes (table)'!$E$2:$E$1000,"non")</f>
        <v>0</v>
      </c>
      <c r="E142" s="8" t="n">
        <f aca="false">COUNTIFS('Votes (table)'!$C$2:$C$1000,A142,'Votes (table)'!$E$2:$E$1000,"blanc")</f>
        <v>0</v>
      </c>
      <c r="F142" s="8" t="n">
        <f aca="false">SUM(C142:E142)</f>
        <v>0</v>
      </c>
    </row>
    <row r="143" customFormat="false" ht="15" hidden="false" customHeight="false" outlineLevel="0" collapsed="false">
      <c r="A143" s="9" t="n">
        <v>46429</v>
      </c>
      <c r="B143" s="8" t="str">
        <f aca="false">T(INDEX('Vote du jour'!$F$2:$F$223,MATCH(A143,'Vote du jour'!$B$2:$B$223,0)))</f>
        <v/>
      </c>
      <c r="C143" s="8" t="n">
        <f aca="false">COUNTIFS('Votes (table)'!$C$2:$C$1000,A143,'Votes (table)'!$E$2:$E$1000,"oui")</f>
        <v>0</v>
      </c>
      <c r="D143" s="8" t="n">
        <f aca="false">COUNTIFS('Votes (table)'!$C$2:$C$1000,A143,'Votes (table)'!$E$2:$E$1000,"non")</f>
        <v>0</v>
      </c>
      <c r="E143" s="8" t="n">
        <f aca="false">COUNTIFS('Votes (table)'!$C$2:$C$1000,A143,'Votes (table)'!$E$2:$E$1000,"blanc")</f>
        <v>0</v>
      </c>
      <c r="F143" s="8" t="n">
        <f aca="false">SUM(C143:E143)</f>
        <v>0</v>
      </c>
    </row>
    <row r="144" customFormat="false" ht="15" hidden="false" customHeight="false" outlineLevel="0" collapsed="false">
      <c r="A144" s="9" t="n">
        <v>46430</v>
      </c>
      <c r="B144" s="8" t="str">
        <f aca="false">T(INDEX('Vote du jour'!$F$2:$F$223,MATCH(A144,'Vote du jour'!$B$2:$B$223,0)))</f>
        <v/>
      </c>
      <c r="C144" s="8" t="n">
        <f aca="false">COUNTIFS('Votes (table)'!$C$2:$C$1000,A144,'Votes (table)'!$E$2:$E$1000,"oui")</f>
        <v>0</v>
      </c>
      <c r="D144" s="8" t="n">
        <f aca="false">COUNTIFS('Votes (table)'!$C$2:$C$1000,A144,'Votes (table)'!$E$2:$E$1000,"non")</f>
        <v>0</v>
      </c>
      <c r="E144" s="8" t="n">
        <f aca="false">COUNTIFS('Votes (table)'!$C$2:$C$1000,A144,'Votes (table)'!$E$2:$E$1000,"blanc")</f>
        <v>0</v>
      </c>
      <c r="F144" s="8" t="n">
        <f aca="false">SUM(C144:E144)</f>
        <v>0</v>
      </c>
    </row>
    <row r="145" customFormat="false" ht="15" hidden="false" customHeight="false" outlineLevel="0" collapsed="false">
      <c r="A145" s="9" t="n">
        <v>46431</v>
      </c>
      <c r="B145" s="8" t="str">
        <f aca="false">T(INDEX('Vote du jour'!$F$2:$F$223,MATCH(A145,'Vote du jour'!$B$2:$B$223,0)))</f>
        <v/>
      </c>
      <c r="C145" s="8" t="n">
        <f aca="false">COUNTIFS('Votes (table)'!$C$2:$C$1000,A145,'Votes (table)'!$E$2:$E$1000,"oui")</f>
        <v>0</v>
      </c>
      <c r="D145" s="8" t="n">
        <f aca="false">COUNTIFS('Votes (table)'!$C$2:$C$1000,A145,'Votes (table)'!$E$2:$E$1000,"non")</f>
        <v>0</v>
      </c>
      <c r="E145" s="8" t="n">
        <f aca="false">COUNTIFS('Votes (table)'!$C$2:$C$1000,A145,'Votes (table)'!$E$2:$E$1000,"blanc")</f>
        <v>0</v>
      </c>
      <c r="F145" s="8" t="n">
        <f aca="false">SUM(C145:E145)</f>
        <v>0</v>
      </c>
    </row>
    <row r="146" customFormat="false" ht="15" hidden="false" customHeight="false" outlineLevel="0" collapsed="false">
      <c r="A146" s="9" t="n">
        <v>46432</v>
      </c>
      <c r="B146" s="8" t="str">
        <f aca="false">T(INDEX('Vote du jour'!$F$2:$F$223,MATCH(A146,'Vote du jour'!$B$2:$B$223,0)))</f>
        <v/>
      </c>
      <c r="C146" s="8" t="n">
        <f aca="false">COUNTIFS('Votes (table)'!$C$2:$C$1000,A146,'Votes (table)'!$E$2:$E$1000,"oui")</f>
        <v>0</v>
      </c>
      <c r="D146" s="8" t="n">
        <f aca="false">COUNTIFS('Votes (table)'!$C$2:$C$1000,A146,'Votes (table)'!$E$2:$E$1000,"non")</f>
        <v>0</v>
      </c>
      <c r="E146" s="8" t="n">
        <f aca="false">COUNTIFS('Votes (table)'!$C$2:$C$1000,A146,'Votes (table)'!$E$2:$E$1000,"blanc")</f>
        <v>0</v>
      </c>
      <c r="F146" s="8" t="n">
        <f aca="false">SUM(C146:E146)</f>
        <v>0</v>
      </c>
    </row>
    <row r="147" customFormat="false" ht="15" hidden="false" customHeight="false" outlineLevel="0" collapsed="false">
      <c r="A147" s="9" t="n">
        <v>46433</v>
      </c>
      <c r="B147" s="8" t="str">
        <f aca="false">T(INDEX('Vote du jour'!$F$2:$F$223,MATCH(A147,'Vote du jour'!$B$2:$B$223,0)))</f>
        <v/>
      </c>
      <c r="C147" s="8" t="n">
        <f aca="false">COUNTIFS('Votes (table)'!$C$2:$C$1000,A147,'Votes (table)'!$E$2:$E$1000,"oui")</f>
        <v>0</v>
      </c>
      <c r="D147" s="8" t="n">
        <f aca="false">COUNTIFS('Votes (table)'!$C$2:$C$1000,A147,'Votes (table)'!$E$2:$E$1000,"non")</f>
        <v>0</v>
      </c>
      <c r="E147" s="8" t="n">
        <f aca="false">COUNTIFS('Votes (table)'!$C$2:$C$1000,A147,'Votes (table)'!$E$2:$E$1000,"blanc")</f>
        <v>0</v>
      </c>
      <c r="F147" s="8" t="n">
        <f aca="false">SUM(C147:E147)</f>
        <v>0</v>
      </c>
    </row>
    <row r="148" customFormat="false" ht="15" hidden="false" customHeight="false" outlineLevel="0" collapsed="false">
      <c r="A148" s="9" t="n">
        <v>46434</v>
      </c>
      <c r="B148" s="8" t="str">
        <f aca="false">T(INDEX('Vote du jour'!$F$2:$F$223,MATCH(A148,'Vote du jour'!$B$2:$B$223,0)))</f>
        <v/>
      </c>
      <c r="C148" s="8" t="n">
        <f aca="false">COUNTIFS('Votes (table)'!$C$2:$C$1000,A148,'Votes (table)'!$E$2:$E$1000,"oui")</f>
        <v>0</v>
      </c>
      <c r="D148" s="8" t="n">
        <f aca="false">COUNTIFS('Votes (table)'!$C$2:$C$1000,A148,'Votes (table)'!$E$2:$E$1000,"non")</f>
        <v>0</v>
      </c>
      <c r="E148" s="8" t="n">
        <f aca="false">COUNTIFS('Votes (table)'!$C$2:$C$1000,A148,'Votes (table)'!$E$2:$E$1000,"blanc")</f>
        <v>0</v>
      </c>
      <c r="F148" s="8" t="n">
        <f aca="false">SUM(C148:E148)</f>
        <v>0</v>
      </c>
    </row>
    <row r="149" customFormat="false" ht="15" hidden="false" customHeight="false" outlineLevel="0" collapsed="false">
      <c r="A149" s="9" t="n">
        <v>46435</v>
      </c>
      <c r="B149" s="8" t="str">
        <f aca="false">T(INDEX('Vote du jour'!$F$2:$F$223,MATCH(A149,'Vote du jour'!$B$2:$B$223,0)))</f>
        <v/>
      </c>
      <c r="C149" s="8" t="n">
        <f aca="false">COUNTIFS('Votes (table)'!$C$2:$C$1000,A149,'Votes (table)'!$E$2:$E$1000,"oui")</f>
        <v>0</v>
      </c>
      <c r="D149" s="8" t="n">
        <f aca="false">COUNTIFS('Votes (table)'!$C$2:$C$1000,A149,'Votes (table)'!$E$2:$E$1000,"non")</f>
        <v>0</v>
      </c>
      <c r="E149" s="8" t="n">
        <f aca="false">COUNTIFS('Votes (table)'!$C$2:$C$1000,A149,'Votes (table)'!$E$2:$E$1000,"blanc")</f>
        <v>0</v>
      </c>
      <c r="F149" s="8" t="n">
        <f aca="false">SUM(C149:E149)</f>
        <v>0</v>
      </c>
    </row>
    <row r="150" customFormat="false" ht="15" hidden="false" customHeight="false" outlineLevel="0" collapsed="false">
      <c r="A150" s="9" t="n">
        <v>46436</v>
      </c>
      <c r="B150" s="8" t="str">
        <f aca="false">T(INDEX('Vote du jour'!$F$2:$F$223,MATCH(A150,'Vote du jour'!$B$2:$B$223,0)))</f>
        <v/>
      </c>
      <c r="C150" s="8" t="n">
        <f aca="false">COUNTIFS('Votes (table)'!$C$2:$C$1000,A150,'Votes (table)'!$E$2:$E$1000,"oui")</f>
        <v>0</v>
      </c>
      <c r="D150" s="8" t="n">
        <f aca="false">COUNTIFS('Votes (table)'!$C$2:$C$1000,A150,'Votes (table)'!$E$2:$E$1000,"non")</f>
        <v>0</v>
      </c>
      <c r="E150" s="8" t="n">
        <f aca="false">COUNTIFS('Votes (table)'!$C$2:$C$1000,A150,'Votes (table)'!$E$2:$E$1000,"blanc")</f>
        <v>0</v>
      </c>
      <c r="F150" s="8" t="n">
        <f aca="false">SUM(C150:E150)</f>
        <v>0</v>
      </c>
    </row>
    <row r="151" customFormat="false" ht="15" hidden="false" customHeight="false" outlineLevel="0" collapsed="false">
      <c r="A151" s="9" t="n">
        <v>46437</v>
      </c>
      <c r="B151" s="8" t="str">
        <f aca="false">T(INDEX('Vote du jour'!$F$2:$F$223,MATCH(A151,'Vote du jour'!$B$2:$B$223,0)))</f>
        <v/>
      </c>
      <c r="C151" s="8" t="n">
        <f aca="false">COUNTIFS('Votes (table)'!$C$2:$C$1000,A151,'Votes (table)'!$E$2:$E$1000,"oui")</f>
        <v>0</v>
      </c>
      <c r="D151" s="8" t="n">
        <f aca="false">COUNTIFS('Votes (table)'!$C$2:$C$1000,A151,'Votes (table)'!$E$2:$E$1000,"non")</f>
        <v>0</v>
      </c>
      <c r="E151" s="8" t="n">
        <f aca="false">COUNTIFS('Votes (table)'!$C$2:$C$1000,A151,'Votes (table)'!$E$2:$E$1000,"blanc")</f>
        <v>0</v>
      </c>
      <c r="F151" s="8" t="n">
        <f aca="false">SUM(C151:E151)</f>
        <v>0</v>
      </c>
    </row>
    <row r="152" customFormat="false" ht="15" hidden="false" customHeight="false" outlineLevel="0" collapsed="false">
      <c r="A152" s="9" t="n">
        <v>46438</v>
      </c>
      <c r="B152" s="8" t="str">
        <f aca="false">T(INDEX('Vote du jour'!$F$2:$F$223,MATCH(A152,'Vote du jour'!$B$2:$B$223,0)))</f>
        <v/>
      </c>
      <c r="C152" s="8" t="n">
        <f aca="false">COUNTIFS('Votes (table)'!$C$2:$C$1000,A152,'Votes (table)'!$E$2:$E$1000,"oui")</f>
        <v>0</v>
      </c>
      <c r="D152" s="8" t="n">
        <f aca="false">COUNTIFS('Votes (table)'!$C$2:$C$1000,A152,'Votes (table)'!$E$2:$E$1000,"non")</f>
        <v>0</v>
      </c>
      <c r="E152" s="8" t="n">
        <f aca="false">COUNTIFS('Votes (table)'!$C$2:$C$1000,A152,'Votes (table)'!$E$2:$E$1000,"blanc")</f>
        <v>0</v>
      </c>
      <c r="F152" s="8" t="n">
        <f aca="false">SUM(C152:E152)</f>
        <v>0</v>
      </c>
    </row>
    <row r="153" customFormat="false" ht="15" hidden="false" customHeight="false" outlineLevel="0" collapsed="false">
      <c r="A153" s="9" t="n">
        <v>46439</v>
      </c>
      <c r="B153" s="8" t="str">
        <f aca="false">T(INDEX('Vote du jour'!$F$2:$F$223,MATCH(A153,'Vote du jour'!$B$2:$B$223,0)))</f>
        <v/>
      </c>
      <c r="C153" s="8" t="n">
        <f aca="false">COUNTIFS('Votes (table)'!$C$2:$C$1000,A153,'Votes (table)'!$E$2:$E$1000,"oui")</f>
        <v>0</v>
      </c>
      <c r="D153" s="8" t="n">
        <f aca="false">COUNTIFS('Votes (table)'!$C$2:$C$1000,A153,'Votes (table)'!$E$2:$E$1000,"non")</f>
        <v>0</v>
      </c>
      <c r="E153" s="8" t="n">
        <f aca="false">COUNTIFS('Votes (table)'!$C$2:$C$1000,A153,'Votes (table)'!$E$2:$E$1000,"blanc")</f>
        <v>0</v>
      </c>
      <c r="F153" s="8" t="n">
        <f aca="false">SUM(C153:E153)</f>
        <v>0</v>
      </c>
    </row>
    <row r="154" customFormat="false" ht="15" hidden="false" customHeight="false" outlineLevel="0" collapsed="false">
      <c r="A154" s="9" t="n">
        <v>46440</v>
      </c>
      <c r="B154" s="8" t="str">
        <f aca="false">T(INDEX('Vote du jour'!$F$2:$F$223,MATCH(A154,'Vote du jour'!$B$2:$B$223,0)))</f>
        <v/>
      </c>
      <c r="C154" s="8" t="n">
        <f aca="false">COUNTIFS('Votes (table)'!$C$2:$C$1000,A154,'Votes (table)'!$E$2:$E$1000,"oui")</f>
        <v>0</v>
      </c>
      <c r="D154" s="8" t="n">
        <f aca="false">COUNTIFS('Votes (table)'!$C$2:$C$1000,A154,'Votes (table)'!$E$2:$E$1000,"non")</f>
        <v>0</v>
      </c>
      <c r="E154" s="8" t="n">
        <f aca="false">COUNTIFS('Votes (table)'!$C$2:$C$1000,A154,'Votes (table)'!$E$2:$E$1000,"blanc")</f>
        <v>0</v>
      </c>
      <c r="F154" s="8" t="n">
        <f aca="false">SUM(C154:E154)</f>
        <v>0</v>
      </c>
    </row>
    <row r="155" customFormat="false" ht="15" hidden="false" customHeight="false" outlineLevel="0" collapsed="false">
      <c r="A155" s="9" t="n">
        <v>46441</v>
      </c>
      <c r="B155" s="8" t="str">
        <f aca="false">T(INDEX('Vote du jour'!$F$2:$F$223,MATCH(A155,'Vote du jour'!$B$2:$B$223,0)))</f>
        <v/>
      </c>
      <c r="C155" s="8" t="n">
        <f aca="false">COUNTIFS('Votes (table)'!$C$2:$C$1000,A155,'Votes (table)'!$E$2:$E$1000,"oui")</f>
        <v>0</v>
      </c>
      <c r="D155" s="8" t="n">
        <f aca="false">COUNTIFS('Votes (table)'!$C$2:$C$1000,A155,'Votes (table)'!$E$2:$E$1000,"non")</f>
        <v>0</v>
      </c>
      <c r="E155" s="8" t="n">
        <f aca="false">COUNTIFS('Votes (table)'!$C$2:$C$1000,A155,'Votes (table)'!$E$2:$E$1000,"blanc")</f>
        <v>0</v>
      </c>
      <c r="F155" s="8" t="n">
        <f aca="false">SUM(C155:E155)</f>
        <v>0</v>
      </c>
    </row>
    <row r="156" customFormat="false" ht="15" hidden="false" customHeight="false" outlineLevel="0" collapsed="false">
      <c r="A156" s="9" t="n">
        <v>46442</v>
      </c>
      <c r="B156" s="8" t="str">
        <f aca="false">T(INDEX('Vote du jour'!$F$2:$F$223,MATCH(A156,'Vote du jour'!$B$2:$B$223,0)))</f>
        <v/>
      </c>
      <c r="C156" s="8" t="n">
        <f aca="false">COUNTIFS('Votes (table)'!$C$2:$C$1000,A156,'Votes (table)'!$E$2:$E$1000,"oui")</f>
        <v>0</v>
      </c>
      <c r="D156" s="8" t="n">
        <f aca="false">COUNTIFS('Votes (table)'!$C$2:$C$1000,A156,'Votes (table)'!$E$2:$E$1000,"non")</f>
        <v>0</v>
      </c>
      <c r="E156" s="8" t="n">
        <f aca="false">COUNTIFS('Votes (table)'!$C$2:$C$1000,A156,'Votes (table)'!$E$2:$E$1000,"blanc")</f>
        <v>0</v>
      </c>
      <c r="F156" s="8" t="n">
        <f aca="false">SUM(C156:E156)</f>
        <v>0</v>
      </c>
    </row>
    <row r="157" customFormat="false" ht="15" hidden="false" customHeight="false" outlineLevel="0" collapsed="false">
      <c r="A157" s="9" t="n">
        <v>46443</v>
      </c>
      <c r="B157" s="8" t="str">
        <f aca="false">T(INDEX('Vote du jour'!$F$2:$F$223,MATCH(A157,'Vote du jour'!$B$2:$B$223,0)))</f>
        <v/>
      </c>
      <c r="C157" s="8" t="n">
        <f aca="false">COUNTIFS('Votes (table)'!$C$2:$C$1000,A157,'Votes (table)'!$E$2:$E$1000,"oui")</f>
        <v>0</v>
      </c>
      <c r="D157" s="8" t="n">
        <f aca="false">COUNTIFS('Votes (table)'!$C$2:$C$1000,A157,'Votes (table)'!$E$2:$E$1000,"non")</f>
        <v>0</v>
      </c>
      <c r="E157" s="8" t="n">
        <f aca="false">COUNTIFS('Votes (table)'!$C$2:$C$1000,A157,'Votes (table)'!$E$2:$E$1000,"blanc")</f>
        <v>0</v>
      </c>
      <c r="F157" s="8" t="n">
        <f aca="false">SUM(C157:E157)</f>
        <v>0</v>
      </c>
    </row>
    <row r="158" customFormat="false" ht="15" hidden="false" customHeight="false" outlineLevel="0" collapsed="false">
      <c r="A158" s="9" t="n">
        <v>46444</v>
      </c>
      <c r="B158" s="8" t="str">
        <f aca="false">T(INDEX('Vote du jour'!$F$2:$F$223,MATCH(A158,'Vote du jour'!$B$2:$B$223,0)))</f>
        <v/>
      </c>
      <c r="C158" s="8" t="n">
        <f aca="false">COUNTIFS('Votes (table)'!$C$2:$C$1000,A158,'Votes (table)'!$E$2:$E$1000,"oui")</f>
        <v>0</v>
      </c>
      <c r="D158" s="8" t="n">
        <f aca="false">COUNTIFS('Votes (table)'!$C$2:$C$1000,A158,'Votes (table)'!$E$2:$E$1000,"non")</f>
        <v>0</v>
      </c>
      <c r="E158" s="8" t="n">
        <f aca="false">COUNTIFS('Votes (table)'!$C$2:$C$1000,A158,'Votes (table)'!$E$2:$E$1000,"blanc")</f>
        <v>0</v>
      </c>
      <c r="F158" s="8" t="n">
        <f aca="false">SUM(C158:E158)</f>
        <v>0</v>
      </c>
    </row>
    <row r="159" customFormat="false" ht="15" hidden="false" customHeight="false" outlineLevel="0" collapsed="false">
      <c r="A159" s="9" t="n">
        <v>46445</v>
      </c>
      <c r="B159" s="8" t="str">
        <f aca="false">T(INDEX('Vote du jour'!$F$2:$F$223,MATCH(A159,'Vote du jour'!$B$2:$B$223,0)))</f>
        <v/>
      </c>
      <c r="C159" s="8" t="n">
        <f aca="false">COUNTIFS('Votes (table)'!$C$2:$C$1000,A159,'Votes (table)'!$E$2:$E$1000,"oui")</f>
        <v>0</v>
      </c>
      <c r="D159" s="8" t="n">
        <f aca="false">COUNTIFS('Votes (table)'!$C$2:$C$1000,A159,'Votes (table)'!$E$2:$E$1000,"non")</f>
        <v>0</v>
      </c>
      <c r="E159" s="8" t="n">
        <f aca="false">COUNTIFS('Votes (table)'!$C$2:$C$1000,A159,'Votes (table)'!$E$2:$E$1000,"blanc")</f>
        <v>0</v>
      </c>
      <c r="F159" s="8" t="n">
        <f aca="false">SUM(C159:E159)</f>
        <v>0</v>
      </c>
    </row>
    <row r="160" customFormat="false" ht="15" hidden="false" customHeight="false" outlineLevel="0" collapsed="false">
      <c r="A160" s="9" t="n">
        <v>46446</v>
      </c>
      <c r="B160" s="8" t="str">
        <f aca="false">T(INDEX('Vote du jour'!$F$2:$F$223,MATCH(A160,'Vote du jour'!$B$2:$B$223,0)))</f>
        <v/>
      </c>
      <c r="C160" s="8" t="n">
        <f aca="false">COUNTIFS('Votes (table)'!$C$2:$C$1000,A160,'Votes (table)'!$E$2:$E$1000,"oui")</f>
        <v>0</v>
      </c>
      <c r="D160" s="8" t="n">
        <f aca="false">COUNTIFS('Votes (table)'!$C$2:$C$1000,A160,'Votes (table)'!$E$2:$E$1000,"non")</f>
        <v>0</v>
      </c>
      <c r="E160" s="8" t="n">
        <f aca="false">COUNTIFS('Votes (table)'!$C$2:$C$1000,A160,'Votes (table)'!$E$2:$E$1000,"blanc")</f>
        <v>0</v>
      </c>
      <c r="F160" s="8" t="n">
        <f aca="false">SUM(C160:E160)</f>
        <v>0</v>
      </c>
    </row>
    <row r="161" customFormat="false" ht="15" hidden="false" customHeight="false" outlineLevel="0" collapsed="false">
      <c r="A161" s="9" t="n">
        <v>46447</v>
      </c>
      <c r="B161" s="8" t="str">
        <f aca="false">T(INDEX('Vote du jour'!$F$2:$F$223,MATCH(A161,'Vote du jour'!$B$2:$B$223,0)))</f>
        <v/>
      </c>
      <c r="C161" s="8" t="n">
        <f aca="false">COUNTIFS('Votes (table)'!$C$2:$C$1000,A161,'Votes (table)'!$E$2:$E$1000,"oui")</f>
        <v>0</v>
      </c>
      <c r="D161" s="8" t="n">
        <f aca="false">COUNTIFS('Votes (table)'!$C$2:$C$1000,A161,'Votes (table)'!$E$2:$E$1000,"non")</f>
        <v>0</v>
      </c>
      <c r="E161" s="8" t="n">
        <f aca="false">COUNTIFS('Votes (table)'!$C$2:$C$1000,A161,'Votes (table)'!$E$2:$E$1000,"blanc")</f>
        <v>0</v>
      </c>
      <c r="F161" s="8" t="n">
        <f aca="false">SUM(C161:E161)</f>
        <v>0</v>
      </c>
    </row>
    <row r="162" customFormat="false" ht="15" hidden="false" customHeight="false" outlineLevel="0" collapsed="false">
      <c r="A162" s="9" t="n">
        <v>46448</v>
      </c>
      <c r="B162" s="8" t="str">
        <f aca="false">T(INDEX('Vote du jour'!$F$2:$F$223,MATCH(A162,'Vote du jour'!$B$2:$B$223,0)))</f>
        <v/>
      </c>
      <c r="C162" s="8" t="n">
        <f aca="false">COUNTIFS('Votes (table)'!$C$2:$C$1000,A162,'Votes (table)'!$E$2:$E$1000,"oui")</f>
        <v>0</v>
      </c>
      <c r="D162" s="8" t="n">
        <f aca="false">COUNTIFS('Votes (table)'!$C$2:$C$1000,A162,'Votes (table)'!$E$2:$E$1000,"non")</f>
        <v>0</v>
      </c>
      <c r="E162" s="8" t="n">
        <f aca="false">COUNTIFS('Votes (table)'!$C$2:$C$1000,A162,'Votes (table)'!$E$2:$E$1000,"blanc")</f>
        <v>0</v>
      </c>
      <c r="F162" s="8" t="n">
        <f aca="false">SUM(C162:E162)</f>
        <v>0</v>
      </c>
    </row>
    <row r="163" customFormat="false" ht="15" hidden="false" customHeight="false" outlineLevel="0" collapsed="false">
      <c r="A163" s="9" t="n">
        <v>46449</v>
      </c>
      <c r="B163" s="8" t="str">
        <f aca="false">T(INDEX('Vote du jour'!$F$2:$F$223,MATCH(A163,'Vote du jour'!$B$2:$B$223,0)))</f>
        <v/>
      </c>
      <c r="C163" s="8" t="n">
        <f aca="false">COUNTIFS('Votes (table)'!$C$2:$C$1000,A163,'Votes (table)'!$E$2:$E$1000,"oui")</f>
        <v>0</v>
      </c>
      <c r="D163" s="8" t="n">
        <f aca="false">COUNTIFS('Votes (table)'!$C$2:$C$1000,A163,'Votes (table)'!$E$2:$E$1000,"non")</f>
        <v>0</v>
      </c>
      <c r="E163" s="8" t="n">
        <f aca="false">COUNTIFS('Votes (table)'!$C$2:$C$1000,A163,'Votes (table)'!$E$2:$E$1000,"blanc")</f>
        <v>0</v>
      </c>
      <c r="F163" s="8" t="n">
        <f aca="false">SUM(C163:E163)</f>
        <v>0</v>
      </c>
    </row>
    <row r="164" customFormat="false" ht="15" hidden="false" customHeight="false" outlineLevel="0" collapsed="false">
      <c r="A164" s="9" t="n">
        <v>46450</v>
      </c>
      <c r="B164" s="8" t="str">
        <f aca="false">T(INDEX('Vote du jour'!$F$2:$F$223,MATCH(A164,'Vote du jour'!$B$2:$B$223,0)))</f>
        <v/>
      </c>
      <c r="C164" s="8" t="n">
        <f aca="false">COUNTIFS('Votes (table)'!$C$2:$C$1000,A164,'Votes (table)'!$E$2:$E$1000,"oui")</f>
        <v>0</v>
      </c>
      <c r="D164" s="8" t="n">
        <f aca="false">COUNTIFS('Votes (table)'!$C$2:$C$1000,A164,'Votes (table)'!$E$2:$E$1000,"non")</f>
        <v>0</v>
      </c>
      <c r="E164" s="8" t="n">
        <f aca="false">COUNTIFS('Votes (table)'!$C$2:$C$1000,A164,'Votes (table)'!$E$2:$E$1000,"blanc")</f>
        <v>0</v>
      </c>
      <c r="F164" s="8" t="n">
        <f aca="false">SUM(C164:E164)</f>
        <v>0</v>
      </c>
    </row>
    <row r="165" customFormat="false" ht="15" hidden="false" customHeight="false" outlineLevel="0" collapsed="false">
      <c r="A165" s="9" t="n">
        <v>46451</v>
      </c>
      <c r="B165" s="8" t="str">
        <f aca="false">T(INDEX('Vote du jour'!$F$2:$F$223,MATCH(A165,'Vote du jour'!$B$2:$B$223,0)))</f>
        <v/>
      </c>
      <c r="C165" s="8" t="n">
        <f aca="false">COUNTIFS('Votes (table)'!$C$2:$C$1000,A165,'Votes (table)'!$E$2:$E$1000,"oui")</f>
        <v>0</v>
      </c>
      <c r="D165" s="8" t="n">
        <f aca="false">COUNTIFS('Votes (table)'!$C$2:$C$1000,A165,'Votes (table)'!$E$2:$E$1000,"non")</f>
        <v>0</v>
      </c>
      <c r="E165" s="8" t="n">
        <f aca="false">COUNTIFS('Votes (table)'!$C$2:$C$1000,A165,'Votes (table)'!$E$2:$E$1000,"blanc")</f>
        <v>0</v>
      </c>
      <c r="F165" s="8" t="n">
        <f aca="false">SUM(C165:E165)</f>
        <v>0</v>
      </c>
    </row>
    <row r="166" customFormat="false" ht="15" hidden="false" customHeight="false" outlineLevel="0" collapsed="false">
      <c r="A166" s="9" t="n">
        <v>46452</v>
      </c>
      <c r="B166" s="8" t="str">
        <f aca="false">T(INDEX('Vote du jour'!$F$2:$F$223,MATCH(A166,'Vote du jour'!$B$2:$B$223,0)))</f>
        <v/>
      </c>
      <c r="C166" s="8" t="n">
        <f aca="false">COUNTIFS('Votes (table)'!$C$2:$C$1000,A166,'Votes (table)'!$E$2:$E$1000,"oui")</f>
        <v>0</v>
      </c>
      <c r="D166" s="8" t="n">
        <f aca="false">COUNTIFS('Votes (table)'!$C$2:$C$1000,A166,'Votes (table)'!$E$2:$E$1000,"non")</f>
        <v>0</v>
      </c>
      <c r="E166" s="8" t="n">
        <f aca="false">COUNTIFS('Votes (table)'!$C$2:$C$1000,A166,'Votes (table)'!$E$2:$E$1000,"blanc")</f>
        <v>0</v>
      </c>
      <c r="F166" s="8" t="n">
        <f aca="false">SUM(C166:E166)</f>
        <v>0</v>
      </c>
    </row>
    <row r="167" customFormat="false" ht="15" hidden="false" customHeight="false" outlineLevel="0" collapsed="false">
      <c r="A167" s="9" t="n">
        <v>46453</v>
      </c>
      <c r="B167" s="8" t="str">
        <f aca="false">T(INDEX('Vote du jour'!$F$2:$F$223,MATCH(A167,'Vote du jour'!$B$2:$B$223,0)))</f>
        <v/>
      </c>
      <c r="C167" s="8" t="n">
        <f aca="false">COUNTIFS('Votes (table)'!$C$2:$C$1000,A167,'Votes (table)'!$E$2:$E$1000,"oui")</f>
        <v>0</v>
      </c>
      <c r="D167" s="8" t="n">
        <f aca="false">COUNTIFS('Votes (table)'!$C$2:$C$1000,A167,'Votes (table)'!$E$2:$E$1000,"non")</f>
        <v>0</v>
      </c>
      <c r="E167" s="8" t="n">
        <f aca="false">COUNTIFS('Votes (table)'!$C$2:$C$1000,A167,'Votes (table)'!$E$2:$E$1000,"blanc")</f>
        <v>0</v>
      </c>
      <c r="F167" s="8" t="n">
        <f aca="false">SUM(C167:E167)</f>
        <v>0</v>
      </c>
    </row>
    <row r="168" customFormat="false" ht="15" hidden="false" customHeight="false" outlineLevel="0" collapsed="false">
      <c r="A168" s="9" t="n">
        <v>46454</v>
      </c>
      <c r="B168" s="8" t="str">
        <f aca="false">T(INDEX('Vote du jour'!$F$2:$F$223,MATCH(A168,'Vote du jour'!$B$2:$B$223,0)))</f>
        <v/>
      </c>
      <c r="C168" s="8" t="n">
        <f aca="false">COUNTIFS('Votes (table)'!$C$2:$C$1000,A168,'Votes (table)'!$E$2:$E$1000,"oui")</f>
        <v>0</v>
      </c>
      <c r="D168" s="8" t="n">
        <f aca="false">COUNTIFS('Votes (table)'!$C$2:$C$1000,A168,'Votes (table)'!$E$2:$E$1000,"non")</f>
        <v>0</v>
      </c>
      <c r="E168" s="8" t="n">
        <f aca="false">COUNTIFS('Votes (table)'!$C$2:$C$1000,A168,'Votes (table)'!$E$2:$E$1000,"blanc")</f>
        <v>0</v>
      </c>
      <c r="F168" s="8" t="n">
        <f aca="false">SUM(C168:E168)</f>
        <v>0</v>
      </c>
    </row>
    <row r="169" customFormat="false" ht="15" hidden="false" customHeight="false" outlineLevel="0" collapsed="false">
      <c r="A169" s="9" t="n">
        <v>46455</v>
      </c>
      <c r="B169" s="8" t="str">
        <f aca="false">T(INDEX('Vote du jour'!$F$2:$F$223,MATCH(A169,'Vote du jour'!$B$2:$B$223,0)))</f>
        <v/>
      </c>
      <c r="C169" s="8" t="n">
        <f aca="false">COUNTIFS('Votes (table)'!$C$2:$C$1000,A169,'Votes (table)'!$E$2:$E$1000,"oui")</f>
        <v>0</v>
      </c>
      <c r="D169" s="8" t="n">
        <f aca="false">COUNTIFS('Votes (table)'!$C$2:$C$1000,A169,'Votes (table)'!$E$2:$E$1000,"non")</f>
        <v>0</v>
      </c>
      <c r="E169" s="8" t="n">
        <f aca="false">COUNTIFS('Votes (table)'!$C$2:$C$1000,A169,'Votes (table)'!$E$2:$E$1000,"blanc")</f>
        <v>0</v>
      </c>
      <c r="F169" s="8" t="n">
        <f aca="false">SUM(C169:E169)</f>
        <v>0</v>
      </c>
    </row>
    <row r="170" customFormat="false" ht="15" hidden="false" customHeight="false" outlineLevel="0" collapsed="false">
      <c r="A170" s="9" t="n">
        <v>46456</v>
      </c>
      <c r="B170" s="8" t="str">
        <f aca="false">T(INDEX('Vote du jour'!$F$2:$F$223,MATCH(A170,'Vote du jour'!$B$2:$B$223,0)))</f>
        <v/>
      </c>
      <c r="C170" s="8" t="n">
        <f aca="false">COUNTIFS('Votes (table)'!$C$2:$C$1000,A170,'Votes (table)'!$E$2:$E$1000,"oui")</f>
        <v>0</v>
      </c>
      <c r="D170" s="8" t="n">
        <f aca="false">COUNTIFS('Votes (table)'!$C$2:$C$1000,A170,'Votes (table)'!$E$2:$E$1000,"non")</f>
        <v>0</v>
      </c>
      <c r="E170" s="8" t="n">
        <f aca="false">COUNTIFS('Votes (table)'!$C$2:$C$1000,A170,'Votes (table)'!$E$2:$E$1000,"blanc")</f>
        <v>0</v>
      </c>
      <c r="F170" s="8" t="n">
        <f aca="false">SUM(C170:E170)</f>
        <v>0</v>
      </c>
    </row>
    <row r="171" customFormat="false" ht="15" hidden="false" customHeight="false" outlineLevel="0" collapsed="false">
      <c r="A171" s="9" t="n">
        <v>46457</v>
      </c>
      <c r="B171" s="8" t="str">
        <f aca="false">T(INDEX('Vote du jour'!$F$2:$F$223,MATCH(A171,'Vote du jour'!$B$2:$B$223,0)))</f>
        <v/>
      </c>
      <c r="C171" s="8" t="n">
        <f aca="false">COUNTIFS('Votes (table)'!$C$2:$C$1000,A171,'Votes (table)'!$E$2:$E$1000,"oui")</f>
        <v>0</v>
      </c>
      <c r="D171" s="8" t="n">
        <f aca="false">COUNTIFS('Votes (table)'!$C$2:$C$1000,A171,'Votes (table)'!$E$2:$E$1000,"non")</f>
        <v>0</v>
      </c>
      <c r="E171" s="8" t="n">
        <f aca="false">COUNTIFS('Votes (table)'!$C$2:$C$1000,A171,'Votes (table)'!$E$2:$E$1000,"blanc")</f>
        <v>0</v>
      </c>
      <c r="F171" s="8" t="n">
        <f aca="false">SUM(C171:E171)</f>
        <v>0</v>
      </c>
    </row>
    <row r="172" customFormat="false" ht="15" hidden="false" customHeight="false" outlineLevel="0" collapsed="false">
      <c r="A172" s="9" t="n">
        <v>46458</v>
      </c>
      <c r="B172" s="8" t="str">
        <f aca="false">T(INDEX('Vote du jour'!$F$2:$F$223,MATCH(A172,'Vote du jour'!$B$2:$B$223,0)))</f>
        <v/>
      </c>
      <c r="C172" s="8" t="n">
        <f aca="false">COUNTIFS('Votes (table)'!$C$2:$C$1000,A172,'Votes (table)'!$E$2:$E$1000,"oui")</f>
        <v>0</v>
      </c>
      <c r="D172" s="8" t="n">
        <f aca="false">COUNTIFS('Votes (table)'!$C$2:$C$1000,A172,'Votes (table)'!$E$2:$E$1000,"non")</f>
        <v>0</v>
      </c>
      <c r="E172" s="8" t="n">
        <f aca="false">COUNTIFS('Votes (table)'!$C$2:$C$1000,A172,'Votes (table)'!$E$2:$E$1000,"blanc")</f>
        <v>0</v>
      </c>
      <c r="F172" s="8" t="n">
        <f aca="false">SUM(C172:E172)</f>
        <v>0</v>
      </c>
    </row>
    <row r="173" customFormat="false" ht="15" hidden="false" customHeight="false" outlineLevel="0" collapsed="false">
      <c r="A173" s="9" t="n">
        <v>46459</v>
      </c>
      <c r="B173" s="8" t="str">
        <f aca="false">T(INDEX('Vote du jour'!$F$2:$F$223,MATCH(A173,'Vote du jour'!$B$2:$B$223,0)))</f>
        <v/>
      </c>
      <c r="C173" s="8" t="n">
        <f aca="false">COUNTIFS('Votes (table)'!$C$2:$C$1000,A173,'Votes (table)'!$E$2:$E$1000,"oui")</f>
        <v>0</v>
      </c>
      <c r="D173" s="8" t="n">
        <f aca="false">COUNTIFS('Votes (table)'!$C$2:$C$1000,A173,'Votes (table)'!$E$2:$E$1000,"non")</f>
        <v>0</v>
      </c>
      <c r="E173" s="8" t="n">
        <f aca="false">COUNTIFS('Votes (table)'!$C$2:$C$1000,A173,'Votes (table)'!$E$2:$E$1000,"blanc")</f>
        <v>0</v>
      </c>
      <c r="F173" s="8" t="n">
        <f aca="false">SUM(C173:E173)</f>
        <v>0</v>
      </c>
    </row>
    <row r="174" customFormat="false" ht="15" hidden="false" customHeight="false" outlineLevel="0" collapsed="false">
      <c r="A174" s="9" t="n">
        <v>46460</v>
      </c>
      <c r="B174" s="8" t="str">
        <f aca="false">T(INDEX('Vote du jour'!$F$2:$F$223,MATCH(A174,'Vote du jour'!$B$2:$B$223,0)))</f>
        <v/>
      </c>
      <c r="C174" s="8" t="n">
        <f aca="false">COUNTIFS('Votes (table)'!$C$2:$C$1000,A174,'Votes (table)'!$E$2:$E$1000,"oui")</f>
        <v>0</v>
      </c>
      <c r="D174" s="8" t="n">
        <f aca="false">COUNTIFS('Votes (table)'!$C$2:$C$1000,A174,'Votes (table)'!$E$2:$E$1000,"non")</f>
        <v>0</v>
      </c>
      <c r="E174" s="8" t="n">
        <f aca="false">COUNTIFS('Votes (table)'!$C$2:$C$1000,A174,'Votes (table)'!$E$2:$E$1000,"blanc")</f>
        <v>0</v>
      </c>
      <c r="F174" s="8" t="n">
        <f aca="false">SUM(C174:E174)</f>
        <v>0</v>
      </c>
    </row>
    <row r="175" customFormat="false" ht="15" hidden="false" customHeight="false" outlineLevel="0" collapsed="false">
      <c r="A175" s="9" t="n">
        <v>46461</v>
      </c>
      <c r="B175" s="8" t="str">
        <f aca="false">T(INDEX('Vote du jour'!$F$2:$F$223,MATCH(A175,'Vote du jour'!$B$2:$B$223,0)))</f>
        <v/>
      </c>
      <c r="C175" s="8" t="n">
        <f aca="false">COUNTIFS('Votes (table)'!$C$2:$C$1000,A175,'Votes (table)'!$E$2:$E$1000,"oui")</f>
        <v>0</v>
      </c>
      <c r="D175" s="8" t="n">
        <f aca="false">COUNTIFS('Votes (table)'!$C$2:$C$1000,A175,'Votes (table)'!$E$2:$E$1000,"non")</f>
        <v>0</v>
      </c>
      <c r="E175" s="8" t="n">
        <f aca="false">COUNTIFS('Votes (table)'!$C$2:$C$1000,A175,'Votes (table)'!$E$2:$E$1000,"blanc")</f>
        <v>0</v>
      </c>
      <c r="F175" s="8" t="n">
        <f aca="false">SUM(C175:E175)</f>
        <v>0</v>
      </c>
    </row>
    <row r="176" customFormat="false" ht="15" hidden="false" customHeight="false" outlineLevel="0" collapsed="false">
      <c r="A176" s="9" t="n">
        <v>46462</v>
      </c>
      <c r="B176" s="8" t="str">
        <f aca="false">T(INDEX('Vote du jour'!$F$2:$F$223,MATCH(A176,'Vote du jour'!$B$2:$B$223,0)))</f>
        <v/>
      </c>
      <c r="C176" s="8" t="n">
        <f aca="false">COUNTIFS('Votes (table)'!$C$2:$C$1000,A176,'Votes (table)'!$E$2:$E$1000,"oui")</f>
        <v>0</v>
      </c>
      <c r="D176" s="8" t="n">
        <f aca="false">COUNTIFS('Votes (table)'!$C$2:$C$1000,A176,'Votes (table)'!$E$2:$E$1000,"non")</f>
        <v>0</v>
      </c>
      <c r="E176" s="8" t="n">
        <f aca="false">COUNTIFS('Votes (table)'!$C$2:$C$1000,A176,'Votes (table)'!$E$2:$E$1000,"blanc")</f>
        <v>0</v>
      </c>
      <c r="F176" s="8" t="n">
        <f aca="false">SUM(C176:E176)</f>
        <v>0</v>
      </c>
    </row>
    <row r="177" customFormat="false" ht="15" hidden="false" customHeight="false" outlineLevel="0" collapsed="false">
      <c r="A177" s="9" t="n">
        <v>46463</v>
      </c>
      <c r="B177" s="8" t="str">
        <f aca="false">T(INDEX('Vote du jour'!$F$2:$F$223,MATCH(A177,'Vote du jour'!$B$2:$B$223,0)))</f>
        <v/>
      </c>
      <c r="C177" s="8" t="n">
        <f aca="false">COUNTIFS('Votes (table)'!$C$2:$C$1000,A177,'Votes (table)'!$E$2:$E$1000,"oui")</f>
        <v>0</v>
      </c>
      <c r="D177" s="8" t="n">
        <f aca="false">COUNTIFS('Votes (table)'!$C$2:$C$1000,A177,'Votes (table)'!$E$2:$E$1000,"non")</f>
        <v>0</v>
      </c>
      <c r="E177" s="8" t="n">
        <f aca="false">COUNTIFS('Votes (table)'!$C$2:$C$1000,A177,'Votes (table)'!$E$2:$E$1000,"blanc")</f>
        <v>0</v>
      </c>
      <c r="F177" s="8" t="n">
        <f aca="false">SUM(C177:E177)</f>
        <v>0</v>
      </c>
    </row>
    <row r="178" customFormat="false" ht="15" hidden="false" customHeight="false" outlineLevel="0" collapsed="false">
      <c r="A178" s="9" t="n">
        <v>46464</v>
      </c>
      <c r="B178" s="8" t="str">
        <f aca="false">T(INDEX('Vote du jour'!$F$2:$F$223,MATCH(A178,'Vote du jour'!$B$2:$B$223,0)))</f>
        <v/>
      </c>
      <c r="C178" s="8" t="n">
        <f aca="false">COUNTIFS('Votes (table)'!$C$2:$C$1000,A178,'Votes (table)'!$E$2:$E$1000,"oui")</f>
        <v>0</v>
      </c>
      <c r="D178" s="8" t="n">
        <f aca="false">COUNTIFS('Votes (table)'!$C$2:$C$1000,A178,'Votes (table)'!$E$2:$E$1000,"non")</f>
        <v>0</v>
      </c>
      <c r="E178" s="8" t="n">
        <f aca="false">COUNTIFS('Votes (table)'!$C$2:$C$1000,A178,'Votes (table)'!$E$2:$E$1000,"blanc")</f>
        <v>0</v>
      </c>
      <c r="F178" s="8" t="n">
        <f aca="false">SUM(C178:E178)</f>
        <v>0</v>
      </c>
    </row>
    <row r="179" customFormat="false" ht="15" hidden="false" customHeight="false" outlineLevel="0" collapsed="false">
      <c r="A179" s="9" t="n">
        <v>46465</v>
      </c>
      <c r="B179" s="8" t="str">
        <f aca="false">T(INDEX('Vote du jour'!$F$2:$F$223,MATCH(A179,'Vote du jour'!$B$2:$B$223,0)))</f>
        <v/>
      </c>
      <c r="C179" s="8" t="n">
        <f aca="false">COUNTIFS('Votes (table)'!$C$2:$C$1000,A179,'Votes (table)'!$E$2:$E$1000,"oui")</f>
        <v>0</v>
      </c>
      <c r="D179" s="8" t="n">
        <f aca="false">COUNTIFS('Votes (table)'!$C$2:$C$1000,A179,'Votes (table)'!$E$2:$E$1000,"non")</f>
        <v>0</v>
      </c>
      <c r="E179" s="8" t="n">
        <f aca="false">COUNTIFS('Votes (table)'!$C$2:$C$1000,A179,'Votes (table)'!$E$2:$E$1000,"blanc")</f>
        <v>0</v>
      </c>
      <c r="F179" s="8" t="n">
        <f aca="false">SUM(C179:E179)</f>
        <v>0</v>
      </c>
    </row>
    <row r="180" customFormat="false" ht="15" hidden="false" customHeight="false" outlineLevel="0" collapsed="false">
      <c r="A180" s="9" t="n">
        <v>46466</v>
      </c>
      <c r="B180" s="8" t="str">
        <f aca="false">T(INDEX('Vote du jour'!$F$2:$F$223,MATCH(A180,'Vote du jour'!$B$2:$B$223,0)))</f>
        <v/>
      </c>
      <c r="C180" s="8" t="n">
        <f aca="false">COUNTIFS('Votes (table)'!$C$2:$C$1000,A180,'Votes (table)'!$E$2:$E$1000,"oui")</f>
        <v>0</v>
      </c>
      <c r="D180" s="8" t="n">
        <f aca="false">COUNTIFS('Votes (table)'!$C$2:$C$1000,A180,'Votes (table)'!$E$2:$E$1000,"non")</f>
        <v>0</v>
      </c>
      <c r="E180" s="8" t="n">
        <f aca="false">COUNTIFS('Votes (table)'!$C$2:$C$1000,A180,'Votes (table)'!$E$2:$E$1000,"blanc")</f>
        <v>0</v>
      </c>
      <c r="F180" s="8" t="n">
        <f aca="false">SUM(C180:E180)</f>
        <v>0</v>
      </c>
    </row>
    <row r="181" customFormat="false" ht="15" hidden="false" customHeight="false" outlineLevel="0" collapsed="false">
      <c r="A181" s="9" t="n">
        <v>46467</v>
      </c>
      <c r="B181" s="8" t="str">
        <f aca="false">T(INDEX('Vote du jour'!$F$2:$F$223,MATCH(A181,'Vote du jour'!$B$2:$B$223,0)))</f>
        <v/>
      </c>
      <c r="C181" s="8" t="n">
        <f aca="false">COUNTIFS('Votes (table)'!$C$2:$C$1000,A181,'Votes (table)'!$E$2:$E$1000,"oui")</f>
        <v>0</v>
      </c>
      <c r="D181" s="8" t="n">
        <f aca="false">COUNTIFS('Votes (table)'!$C$2:$C$1000,A181,'Votes (table)'!$E$2:$E$1000,"non")</f>
        <v>0</v>
      </c>
      <c r="E181" s="8" t="n">
        <f aca="false">COUNTIFS('Votes (table)'!$C$2:$C$1000,A181,'Votes (table)'!$E$2:$E$1000,"blanc")</f>
        <v>0</v>
      </c>
      <c r="F181" s="8" t="n">
        <f aca="false">SUM(C181:E181)</f>
        <v>0</v>
      </c>
    </row>
    <row r="182" customFormat="false" ht="15" hidden="false" customHeight="false" outlineLevel="0" collapsed="false">
      <c r="A182" s="9" t="n">
        <v>46468</v>
      </c>
      <c r="B182" s="8" t="str">
        <f aca="false">T(INDEX('Vote du jour'!$F$2:$F$223,MATCH(A182,'Vote du jour'!$B$2:$B$223,0)))</f>
        <v/>
      </c>
      <c r="C182" s="8" t="n">
        <f aca="false">COUNTIFS('Votes (table)'!$C$2:$C$1000,A182,'Votes (table)'!$E$2:$E$1000,"oui")</f>
        <v>0</v>
      </c>
      <c r="D182" s="8" t="n">
        <f aca="false">COUNTIFS('Votes (table)'!$C$2:$C$1000,A182,'Votes (table)'!$E$2:$E$1000,"non")</f>
        <v>0</v>
      </c>
      <c r="E182" s="8" t="n">
        <f aca="false">COUNTIFS('Votes (table)'!$C$2:$C$1000,A182,'Votes (table)'!$E$2:$E$1000,"blanc")</f>
        <v>0</v>
      </c>
      <c r="F182" s="8" t="n">
        <f aca="false">SUM(C182:E182)</f>
        <v>0</v>
      </c>
    </row>
    <row r="183" customFormat="false" ht="15" hidden="false" customHeight="false" outlineLevel="0" collapsed="false">
      <c r="A183" s="9" t="n">
        <v>46469</v>
      </c>
      <c r="B183" s="8" t="str">
        <f aca="false">T(INDEX('Vote du jour'!$F$2:$F$223,MATCH(A183,'Vote du jour'!$B$2:$B$223,0)))</f>
        <v/>
      </c>
      <c r="C183" s="8" t="n">
        <f aca="false">COUNTIFS('Votes (table)'!$C$2:$C$1000,A183,'Votes (table)'!$E$2:$E$1000,"oui")</f>
        <v>0</v>
      </c>
      <c r="D183" s="8" t="n">
        <f aca="false">COUNTIFS('Votes (table)'!$C$2:$C$1000,A183,'Votes (table)'!$E$2:$E$1000,"non")</f>
        <v>0</v>
      </c>
      <c r="E183" s="8" t="n">
        <f aca="false">COUNTIFS('Votes (table)'!$C$2:$C$1000,A183,'Votes (table)'!$E$2:$E$1000,"blanc")</f>
        <v>0</v>
      </c>
      <c r="F183" s="8" t="n">
        <f aca="false">SUM(C183:E183)</f>
        <v>0</v>
      </c>
    </row>
    <row r="184" customFormat="false" ht="15" hidden="false" customHeight="false" outlineLevel="0" collapsed="false">
      <c r="A184" s="9" t="n">
        <v>46470</v>
      </c>
      <c r="B184" s="8" t="str">
        <f aca="false">T(INDEX('Vote du jour'!$F$2:$F$223,MATCH(A184,'Vote du jour'!$B$2:$B$223,0)))</f>
        <v/>
      </c>
      <c r="C184" s="8" t="n">
        <f aca="false">COUNTIFS('Votes (table)'!$C$2:$C$1000,A184,'Votes (table)'!$E$2:$E$1000,"oui")</f>
        <v>0</v>
      </c>
      <c r="D184" s="8" t="n">
        <f aca="false">COUNTIFS('Votes (table)'!$C$2:$C$1000,A184,'Votes (table)'!$E$2:$E$1000,"non")</f>
        <v>0</v>
      </c>
      <c r="E184" s="8" t="n">
        <f aca="false">COUNTIFS('Votes (table)'!$C$2:$C$1000,A184,'Votes (table)'!$E$2:$E$1000,"blanc")</f>
        <v>0</v>
      </c>
      <c r="F184" s="8" t="n">
        <f aca="false">SUM(C184:E184)</f>
        <v>0</v>
      </c>
    </row>
    <row r="185" customFormat="false" ht="15" hidden="false" customHeight="false" outlineLevel="0" collapsed="false">
      <c r="A185" s="9" t="n">
        <v>46471</v>
      </c>
      <c r="B185" s="8" t="str">
        <f aca="false">T(INDEX('Vote du jour'!$F$2:$F$223,MATCH(A185,'Vote du jour'!$B$2:$B$223,0)))</f>
        <v/>
      </c>
      <c r="C185" s="8" t="n">
        <f aca="false">COUNTIFS('Votes (table)'!$C$2:$C$1000,A185,'Votes (table)'!$E$2:$E$1000,"oui")</f>
        <v>0</v>
      </c>
      <c r="D185" s="8" t="n">
        <f aca="false">COUNTIFS('Votes (table)'!$C$2:$C$1000,A185,'Votes (table)'!$E$2:$E$1000,"non")</f>
        <v>0</v>
      </c>
      <c r="E185" s="8" t="n">
        <f aca="false">COUNTIFS('Votes (table)'!$C$2:$C$1000,A185,'Votes (table)'!$E$2:$E$1000,"blanc")</f>
        <v>0</v>
      </c>
      <c r="F185" s="8" t="n">
        <f aca="false">SUM(C185:E185)</f>
        <v>0</v>
      </c>
    </row>
    <row r="186" customFormat="false" ht="15" hidden="false" customHeight="false" outlineLevel="0" collapsed="false">
      <c r="A186" s="9" t="n">
        <v>46472</v>
      </c>
      <c r="B186" s="8" t="str">
        <f aca="false">T(INDEX('Vote du jour'!$F$2:$F$223,MATCH(A186,'Vote du jour'!$B$2:$B$223,0)))</f>
        <v/>
      </c>
      <c r="C186" s="8" t="n">
        <f aca="false">COUNTIFS('Votes (table)'!$C$2:$C$1000,A186,'Votes (table)'!$E$2:$E$1000,"oui")</f>
        <v>0</v>
      </c>
      <c r="D186" s="8" t="n">
        <f aca="false">COUNTIFS('Votes (table)'!$C$2:$C$1000,A186,'Votes (table)'!$E$2:$E$1000,"non")</f>
        <v>0</v>
      </c>
      <c r="E186" s="8" t="n">
        <f aca="false">COUNTIFS('Votes (table)'!$C$2:$C$1000,A186,'Votes (table)'!$E$2:$E$1000,"blanc")</f>
        <v>0</v>
      </c>
      <c r="F186" s="8" t="n">
        <f aca="false">SUM(C186:E186)</f>
        <v>0</v>
      </c>
    </row>
    <row r="187" customFormat="false" ht="15" hidden="false" customHeight="false" outlineLevel="0" collapsed="false">
      <c r="A187" s="9" t="n">
        <v>46473</v>
      </c>
      <c r="B187" s="8" t="str">
        <f aca="false">T(INDEX('Vote du jour'!$F$2:$F$223,MATCH(A187,'Vote du jour'!$B$2:$B$223,0)))</f>
        <v/>
      </c>
      <c r="C187" s="8" t="n">
        <f aca="false">COUNTIFS('Votes (table)'!$C$2:$C$1000,A187,'Votes (table)'!$E$2:$E$1000,"oui")</f>
        <v>0</v>
      </c>
      <c r="D187" s="8" t="n">
        <f aca="false">COUNTIFS('Votes (table)'!$C$2:$C$1000,A187,'Votes (table)'!$E$2:$E$1000,"non")</f>
        <v>0</v>
      </c>
      <c r="E187" s="8" t="n">
        <f aca="false">COUNTIFS('Votes (table)'!$C$2:$C$1000,A187,'Votes (table)'!$E$2:$E$1000,"blanc")</f>
        <v>0</v>
      </c>
      <c r="F187" s="8" t="n">
        <f aca="false">SUM(C187:E187)</f>
        <v>0</v>
      </c>
    </row>
    <row r="188" customFormat="false" ht="15" hidden="false" customHeight="false" outlineLevel="0" collapsed="false">
      <c r="A188" s="9" t="n">
        <v>46474</v>
      </c>
      <c r="B188" s="8" t="str">
        <f aca="false">T(INDEX('Vote du jour'!$F$2:$F$223,MATCH(A188,'Vote du jour'!$B$2:$B$223,0)))</f>
        <v/>
      </c>
      <c r="C188" s="8" t="n">
        <f aca="false">COUNTIFS('Votes (table)'!$C$2:$C$1000,A188,'Votes (table)'!$E$2:$E$1000,"oui")</f>
        <v>0</v>
      </c>
      <c r="D188" s="8" t="n">
        <f aca="false">COUNTIFS('Votes (table)'!$C$2:$C$1000,A188,'Votes (table)'!$E$2:$E$1000,"non")</f>
        <v>0</v>
      </c>
      <c r="E188" s="8" t="n">
        <f aca="false">COUNTIFS('Votes (table)'!$C$2:$C$1000,A188,'Votes (table)'!$E$2:$E$1000,"blanc")</f>
        <v>0</v>
      </c>
      <c r="F188" s="8" t="n">
        <f aca="false">SUM(C188:E188)</f>
        <v>0</v>
      </c>
    </row>
    <row r="189" customFormat="false" ht="15" hidden="false" customHeight="false" outlineLevel="0" collapsed="false">
      <c r="A189" s="9" t="n">
        <v>46475</v>
      </c>
      <c r="B189" s="8" t="str">
        <f aca="false">T(INDEX('Vote du jour'!$F$2:$F$223,MATCH(A189,'Vote du jour'!$B$2:$B$223,0)))</f>
        <v/>
      </c>
      <c r="C189" s="8" t="n">
        <f aca="false">COUNTIFS('Votes (table)'!$C$2:$C$1000,A189,'Votes (table)'!$E$2:$E$1000,"oui")</f>
        <v>0</v>
      </c>
      <c r="D189" s="8" t="n">
        <f aca="false">COUNTIFS('Votes (table)'!$C$2:$C$1000,A189,'Votes (table)'!$E$2:$E$1000,"non")</f>
        <v>0</v>
      </c>
      <c r="E189" s="8" t="n">
        <f aca="false">COUNTIFS('Votes (table)'!$C$2:$C$1000,A189,'Votes (table)'!$E$2:$E$1000,"blanc")</f>
        <v>0</v>
      </c>
      <c r="F189" s="8" t="n">
        <f aca="false">SUM(C189:E189)</f>
        <v>0</v>
      </c>
    </row>
    <row r="190" customFormat="false" ht="15" hidden="false" customHeight="false" outlineLevel="0" collapsed="false">
      <c r="A190" s="9" t="n">
        <v>46476</v>
      </c>
      <c r="B190" s="8" t="str">
        <f aca="false">T(INDEX('Vote du jour'!$F$2:$F$223,MATCH(A190,'Vote du jour'!$B$2:$B$223,0)))</f>
        <v/>
      </c>
      <c r="C190" s="8" t="n">
        <f aca="false">COUNTIFS('Votes (table)'!$C$2:$C$1000,A190,'Votes (table)'!$E$2:$E$1000,"oui")</f>
        <v>0</v>
      </c>
      <c r="D190" s="8" t="n">
        <f aca="false">COUNTIFS('Votes (table)'!$C$2:$C$1000,A190,'Votes (table)'!$E$2:$E$1000,"non")</f>
        <v>0</v>
      </c>
      <c r="E190" s="8" t="n">
        <f aca="false">COUNTIFS('Votes (table)'!$C$2:$C$1000,A190,'Votes (table)'!$E$2:$E$1000,"blanc")</f>
        <v>0</v>
      </c>
      <c r="F190" s="8" t="n">
        <f aca="false">SUM(C190:E190)</f>
        <v>0</v>
      </c>
    </row>
    <row r="191" customFormat="false" ht="15" hidden="false" customHeight="false" outlineLevel="0" collapsed="false">
      <c r="A191" s="9" t="n">
        <v>46477</v>
      </c>
      <c r="B191" s="8" t="str">
        <f aca="false">T(INDEX('Vote du jour'!$F$2:$F$223,MATCH(A191,'Vote du jour'!$B$2:$B$223,0)))</f>
        <v/>
      </c>
      <c r="C191" s="8" t="n">
        <f aca="false">COUNTIFS('Votes (table)'!$C$2:$C$1000,A191,'Votes (table)'!$E$2:$E$1000,"oui")</f>
        <v>0</v>
      </c>
      <c r="D191" s="8" t="n">
        <f aca="false">COUNTIFS('Votes (table)'!$C$2:$C$1000,A191,'Votes (table)'!$E$2:$E$1000,"non")</f>
        <v>0</v>
      </c>
      <c r="E191" s="8" t="n">
        <f aca="false">COUNTIFS('Votes (table)'!$C$2:$C$1000,A191,'Votes (table)'!$E$2:$E$1000,"blanc")</f>
        <v>0</v>
      </c>
      <c r="F191" s="8" t="n">
        <f aca="false">SUM(C191:E191)</f>
        <v>0</v>
      </c>
    </row>
    <row r="192" customFormat="false" ht="15" hidden="false" customHeight="false" outlineLevel="0" collapsed="false">
      <c r="A192" s="9" t="n">
        <v>46478</v>
      </c>
      <c r="B192" s="8" t="str">
        <f aca="false">T(INDEX('Vote du jour'!$F$2:$F$223,MATCH(A192,'Vote du jour'!$B$2:$B$223,0)))</f>
        <v/>
      </c>
      <c r="C192" s="8" t="n">
        <f aca="false">COUNTIFS('Votes (table)'!$C$2:$C$1000,A192,'Votes (table)'!$E$2:$E$1000,"oui")</f>
        <v>0</v>
      </c>
      <c r="D192" s="8" t="n">
        <f aca="false">COUNTIFS('Votes (table)'!$C$2:$C$1000,A192,'Votes (table)'!$E$2:$E$1000,"non")</f>
        <v>0</v>
      </c>
      <c r="E192" s="8" t="n">
        <f aca="false">COUNTIFS('Votes (table)'!$C$2:$C$1000,A192,'Votes (table)'!$E$2:$E$1000,"blanc")</f>
        <v>0</v>
      </c>
      <c r="F192" s="8" t="n">
        <f aca="false">SUM(C192:E192)</f>
        <v>0</v>
      </c>
    </row>
    <row r="193" customFormat="false" ht="15" hidden="false" customHeight="false" outlineLevel="0" collapsed="false">
      <c r="A193" s="9" t="n">
        <v>46479</v>
      </c>
      <c r="B193" s="8" t="str">
        <f aca="false">T(INDEX('Vote du jour'!$F$2:$F$223,MATCH(A193,'Vote du jour'!$B$2:$B$223,0)))</f>
        <v/>
      </c>
      <c r="C193" s="8" t="n">
        <f aca="false">COUNTIFS('Votes (table)'!$C$2:$C$1000,A193,'Votes (table)'!$E$2:$E$1000,"oui")</f>
        <v>0</v>
      </c>
      <c r="D193" s="8" t="n">
        <f aca="false">COUNTIFS('Votes (table)'!$C$2:$C$1000,A193,'Votes (table)'!$E$2:$E$1000,"non")</f>
        <v>0</v>
      </c>
      <c r="E193" s="8" t="n">
        <f aca="false">COUNTIFS('Votes (table)'!$C$2:$C$1000,A193,'Votes (table)'!$E$2:$E$1000,"blanc")</f>
        <v>0</v>
      </c>
      <c r="F193" s="8" t="n">
        <f aca="false">SUM(C193:E193)</f>
        <v>0</v>
      </c>
    </row>
    <row r="194" customFormat="false" ht="15" hidden="false" customHeight="false" outlineLevel="0" collapsed="false">
      <c r="A194" s="9" t="n">
        <v>46480</v>
      </c>
      <c r="B194" s="8" t="str">
        <f aca="false">T(INDEX('Vote du jour'!$F$2:$F$223,MATCH(A194,'Vote du jour'!$B$2:$B$223,0)))</f>
        <v/>
      </c>
      <c r="C194" s="8" t="n">
        <f aca="false">COUNTIFS('Votes (table)'!$C$2:$C$1000,A194,'Votes (table)'!$E$2:$E$1000,"oui")</f>
        <v>0</v>
      </c>
      <c r="D194" s="8" t="n">
        <f aca="false">COUNTIFS('Votes (table)'!$C$2:$C$1000,A194,'Votes (table)'!$E$2:$E$1000,"non")</f>
        <v>0</v>
      </c>
      <c r="E194" s="8" t="n">
        <f aca="false">COUNTIFS('Votes (table)'!$C$2:$C$1000,A194,'Votes (table)'!$E$2:$E$1000,"blanc")</f>
        <v>0</v>
      </c>
      <c r="F194" s="8" t="n">
        <f aca="false">SUM(C194:E194)</f>
        <v>0</v>
      </c>
    </row>
    <row r="195" customFormat="false" ht="15" hidden="false" customHeight="false" outlineLevel="0" collapsed="false">
      <c r="A195" s="9" t="n">
        <v>46481</v>
      </c>
      <c r="B195" s="8" t="str">
        <f aca="false">T(INDEX('Vote du jour'!$F$2:$F$223,MATCH(A195,'Vote du jour'!$B$2:$B$223,0)))</f>
        <v/>
      </c>
      <c r="C195" s="8" t="n">
        <f aca="false">COUNTIFS('Votes (table)'!$C$2:$C$1000,A195,'Votes (table)'!$E$2:$E$1000,"oui")</f>
        <v>0</v>
      </c>
      <c r="D195" s="8" t="n">
        <f aca="false">COUNTIFS('Votes (table)'!$C$2:$C$1000,A195,'Votes (table)'!$E$2:$E$1000,"non")</f>
        <v>0</v>
      </c>
      <c r="E195" s="8" t="n">
        <f aca="false">COUNTIFS('Votes (table)'!$C$2:$C$1000,A195,'Votes (table)'!$E$2:$E$1000,"blanc")</f>
        <v>0</v>
      </c>
      <c r="F195" s="8" t="n">
        <f aca="false">SUM(C195:E195)</f>
        <v>0</v>
      </c>
    </row>
    <row r="196" customFormat="false" ht="15" hidden="false" customHeight="false" outlineLevel="0" collapsed="false">
      <c r="A196" s="9" t="n">
        <v>46482</v>
      </c>
      <c r="B196" s="8" t="str">
        <f aca="false">T(INDEX('Vote du jour'!$F$2:$F$223,MATCH(A196,'Vote du jour'!$B$2:$B$223,0)))</f>
        <v/>
      </c>
      <c r="C196" s="8" t="n">
        <f aca="false">COUNTIFS('Votes (table)'!$C$2:$C$1000,A196,'Votes (table)'!$E$2:$E$1000,"oui")</f>
        <v>0</v>
      </c>
      <c r="D196" s="8" t="n">
        <f aca="false">COUNTIFS('Votes (table)'!$C$2:$C$1000,A196,'Votes (table)'!$E$2:$E$1000,"non")</f>
        <v>0</v>
      </c>
      <c r="E196" s="8" t="n">
        <f aca="false">COUNTIFS('Votes (table)'!$C$2:$C$1000,A196,'Votes (table)'!$E$2:$E$1000,"blanc")</f>
        <v>0</v>
      </c>
      <c r="F196" s="8" t="n">
        <f aca="false">SUM(C196:E196)</f>
        <v>0</v>
      </c>
    </row>
    <row r="197" customFormat="false" ht="15" hidden="false" customHeight="false" outlineLevel="0" collapsed="false">
      <c r="A197" s="9" t="n">
        <v>46483</v>
      </c>
      <c r="B197" s="8" t="str">
        <f aca="false">T(INDEX('Vote du jour'!$F$2:$F$223,MATCH(A197,'Vote du jour'!$B$2:$B$223,0)))</f>
        <v/>
      </c>
      <c r="C197" s="8" t="n">
        <f aca="false">COUNTIFS('Votes (table)'!$C$2:$C$1000,A197,'Votes (table)'!$E$2:$E$1000,"oui")</f>
        <v>0</v>
      </c>
      <c r="D197" s="8" t="n">
        <f aca="false">COUNTIFS('Votes (table)'!$C$2:$C$1000,A197,'Votes (table)'!$E$2:$E$1000,"non")</f>
        <v>0</v>
      </c>
      <c r="E197" s="8" t="n">
        <f aca="false">COUNTIFS('Votes (table)'!$C$2:$C$1000,A197,'Votes (table)'!$E$2:$E$1000,"blanc")</f>
        <v>0</v>
      </c>
      <c r="F197" s="8" t="n">
        <f aca="false">SUM(C197:E197)</f>
        <v>0</v>
      </c>
    </row>
    <row r="198" customFormat="false" ht="15" hidden="false" customHeight="false" outlineLevel="0" collapsed="false">
      <c r="A198" s="9" t="n">
        <v>46484</v>
      </c>
      <c r="B198" s="8" t="str">
        <f aca="false">T(INDEX('Vote du jour'!$F$2:$F$223,MATCH(A198,'Vote du jour'!$B$2:$B$223,0)))</f>
        <v/>
      </c>
      <c r="C198" s="8" t="n">
        <f aca="false">COUNTIFS('Votes (table)'!$C$2:$C$1000,A198,'Votes (table)'!$E$2:$E$1000,"oui")</f>
        <v>0</v>
      </c>
      <c r="D198" s="8" t="n">
        <f aca="false">COUNTIFS('Votes (table)'!$C$2:$C$1000,A198,'Votes (table)'!$E$2:$E$1000,"non")</f>
        <v>0</v>
      </c>
      <c r="E198" s="8" t="n">
        <f aca="false">COUNTIFS('Votes (table)'!$C$2:$C$1000,A198,'Votes (table)'!$E$2:$E$1000,"blanc")</f>
        <v>0</v>
      </c>
      <c r="F198" s="8" t="n">
        <f aca="false">SUM(C198:E198)</f>
        <v>0</v>
      </c>
    </row>
    <row r="199" customFormat="false" ht="15" hidden="false" customHeight="false" outlineLevel="0" collapsed="false">
      <c r="A199" s="9" t="n">
        <v>46485</v>
      </c>
      <c r="B199" s="8" t="str">
        <f aca="false">T(INDEX('Vote du jour'!$F$2:$F$223,MATCH(A199,'Vote du jour'!$B$2:$B$223,0)))</f>
        <v/>
      </c>
      <c r="C199" s="8" t="n">
        <f aca="false">COUNTIFS('Votes (table)'!$C$2:$C$1000,A199,'Votes (table)'!$E$2:$E$1000,"oui")</f>
        <v>0</v>
      </c>
      <c r="D199" s="8" t="n">
        <f aca="false">COUNTIFS('Votes (table)'!$C$2:$C$1000,A199,'Votes (table)'!$E$2:$E$1000,"non")</f>
        <v>0</v>
      </c>
      <c r="E199" s="8" t="n">
        <f aca="false">COUNTIFS('Votes (table)'!$C$2:$C$1000,A199,'Votes (table)'!$E$2:$E$1000,"blanc")</f>
        <v>0</v>
      </c>
      <c r="F199" s="8" t="n">
        <f aca="false">SUM(C199:E199)</f>
        <v>0</v>
      </c>
    </row>
    <row r="200" customFormat="false" ht="15" hidden="false" customHeight="false" outlineLevel="0" collapsed="false">
      <c r="A200" s="9" t="n">
        <v>46486</v>
      </c>
      <c r="B200" s="8" t="str">
        <f aca="false">T(INDEX('Vote du jour'!$F$2:$F$223,MATCH(A200,'Vote du jour'!$B$2:$B$223,0)))</f>
        <v/>
      </c>
      <c r="C200" s="8" t="n">
        <f aca="false">COUNTIFS('Votes (table)'!$C$2:$C$1000,A200,'Votes (table)'!$E$2:$E$1000,"oui")</f>
        <v>0</v>
      </c>
      <c r="D200" s="8" t="n">
        <f aca="false">COUNTIFS('Votes (table)'!$C$2:$C$1000,A200,'Votes (table)'!$E$2:$E$1000,"non")</f>
        <v>0</v>
      </c>
      <c r="E200" s="8" t="n">
        <f aca="false">COUNTIFS('Votes (table)'!$C$2:$C$1000,A200,'Votes (table)'!$E$2:$E$1000,"blanc")</f>
        <v>0</v>
      </c>
      <c r="F200" s="8" t="n">
        <f aca="false">SUM(C200:E200)</f>
        <v>0</v>
      </c>
    </row>
    <row r="201" customFormat="false" ht="15" hidden="false" customHeight="false" outlineLevel="0" collapsed="false">
      <c r="A201" s="9" t="n">
        <v>46487</v>
      </c>
      <c r="B201" s="8" t="str">
        <f aca="false">T(INDEX('Vote du jour'!$F$2:$F$223,MATCH(A201,'Vote du jour'!$B$2:$B$223,0)))</f>
        <v/>
      </c>
      <c r="C201" s="8" t="n">
        <f aca="false">COUNTIFS('Votes (table)'!$C$2:$C$1000,A201,'Votes (table)'!$E$2:$E$1000,"oui")</f>
        <v>0</v>
      </c>
      <c r="D201" s="8" t="n">
        <f aca="false">COUNTIFS('Votes (table)'!$C$2:$C$1000,A201,'Votes (table)'!$E$2:$E$1000,"non")</f>
        <v>0</v>
      </c>
      <c r="E201" s="8" t="n">
        <f aca="false">COUNTIFS('Votes (table)'!$C$2:$C$1000,A201,'Votes (table)'!$E$2:$E$1000,"blanc")</f>
        <v>0</v>
      </c>
      <c r="F201" s="8" t="n">
        <f aca="false">SUM(C201:E201)</f>
        <v>0</v>
      </c>
    </row>
    <row r="202" customFormat="false" ht="15" hidden="false" customHeight="false" outlineLevel="0" collapsed="false">
      <c r="A202" s="9" t="n">
        <v>46488</v>
      </c>
      <c r="B202" s="8" t="str">
        <f aca="false">T(INDEX('Vote du jour'!$F$2:$F$223,MATCH(A202,'Vote du jour'!$B$2:$B$223,0)))</f>
        <v/>
      </c>
      <c r="C202" s="8" t="n">
        <f aca="false">COUNTIFS('Votes (table)'!$C$2:$C$1000,A202,'Votes (table)'!$E$2:$E$1000,"oui")</f>
        <v>0</v>
      </c>
      <c r="D202" s="8" t="n">
        <f aca="false">COUNTIFS('Votes (table)'!$C$2:$C$1000,A202,'Votes (table)'!$E$2:$E$1000,"non")</f>
        <v>0</v>
      </c>
      <c r="E202" s="8" t="n">
        <f aca="false">COUNTIFS('Votes (table)'!$C$2:$C$1000,A202,'Votes (table)'!$E$2:$E$1000,"blanc")</f>
        <v>0</v>
      </c>
      <c r="F202" s="8" t="n">
        <f aca="false">SUM(C202:E202)</f>
        <v>0</v>
      </c>
    </row>
    <row r="203" customFormat="false" ht="15" hidden="false" customHeight="false" outlineLevel="0" collapsed="false">
      <c r="A203" s="9" t="n">
        <v>46489</v>
      </c>
      <c r="B203" s="8" t="str">
        <f aca="false">T(INDEX('Vote du jour'!$F$2:$F$223,MATCH(A203,'Vote du jour'!$B$2:$B$223,0)))</f>
        <v/>
      </c>
      <c r="C203" s="8" t="n">
        <f aca="false">COUNTIFS('Votes (table)'!$C$2:$C$1000,A203,'Votes (table)'!$E$2:$E$1000,"oui")</f>
        <v>0</v>
      </c>
      <c r="D203" s="8" t="n">
        <f aca="false">COUNTIFS('Votes (table)'!$C$2:$C$1000,A203,'Votes (table)'!$E$2:$E$1000,"non")</f>
        <v>0</v>
      </c>
      <c r="E203" s="8" t="n">
        <f aca="false">COUNTIFS('Votes (table)'!$C$2:$C$1000,A203,'Votes (table)'!$E$2:$E$1000,"blanc")</f>
        <v>0</v>
      </c>
      <c r="F203" s="8" t="n">
        <f aca="false">SUM(C203:E203)</f>
        <v>0</v>
      </c>
    </row>
    <row r="204" customFormat="false" ht="15" hidden="false" customHeight="false" outlineLevel="0" collapsed="false">
      <c r="A204" s="9" t="n">
        <v>46490</v>
      </c>
      <c r="B204" s="8" t="str">
        <f aca="false">T(INDEX('Vote du jour'!$F$2:$F$223,MATCH(A204,'Vote du jour'!$B$2:$B$223,0)))</f>
        <v/>
      </c>
      <c r="C204" s="8" t="n">
        <f aca="false">COUNTIFS('Votes (table)'!$C$2:$C$1000,A204,'Votes (table)'!$E$2:$E$1000,"oui")</f>
        <v>0</v>
      </c>
      <c r="D204" s="8" t="n">
        <f aca="false">COUNTIFS('Votes (table)'!$C$2:$C$1000,A204,'Votes (table)'!$E$2:$E$1000,"non")</f>
        <v>0</v>
      </c>
      <c r="E204" s="8" t="n">
        <f aca="false">COUNTIFS('Votes (table)'!$C$2:$C$1000,A204,'Votes (table)'!$E$2:$E$1000,"blanc")</f>
        <v>0</v>
      </c>
      <c r="F204" s="8" t="n">
        <f aca="false">SUM(C204:E204)</f>
        <v>0</v>
      </c>
    </row>
    <row r="205" customFormat="false" ht="15" hidden="false" customHeight="false" outlineLevel="0" collapsed="false">
      <c r="A205" s="9" t="n">
        <v>46491</v>
      </c>
      <c r="B205" s="8" t="str">
        <f aca="false">T(INDEX('Vote du jour'!$F$2:$F$223,MATCH(A205,'Vote du jour'!$B$2:$B$223,0)))</f>
        <v/>
      </c>
      <c r="C205" s="8" t="n">
        <f aca="false">COUNTIFS('Votes (table)'!$C$2:$C$1000,A205,'Votes (table)'!$E$2:$E$1000,"oui")</f>
        <v>0</v>
      </c>
      <c r="D205" s="8" t="n">
        <f aca="false">COUNTIFS('Votes (table)'!$C$2:$C$1000,A205,'Votes (table)'!$E$2:$E$1000,"non")</f>
        <v>0</v>
      </c>
      <c r="E205" s="8" t="n">
        <f aca="false">COUNTIFS('Votes (table)'!$C$2:$C$1000,A205,'Votes (table)'!$E$2:$E$1000,"blanc")</f>
        <v>0</v>
      </c>
      <c r="F205" s="8" t="n">
        <f aca="false">SUM(C205:E205)</f>
        <v>0</v>
      </c>
    </row>
    <row r="206" customFormat="false" ht="15" hidden="false" customHeight="false" outlineLevel="0" collapsed="false">
      <c r="A206" s="9" t="n">
        <v>46492</v>
      </c>
      <c r="B206" s="8" t="str">
        <f aca="false">T(INDEX('Vote du jour'!$F$2:$F$223,MATCH(A206,'Vote du jour'!$B$2:$B$223,0)))</f>
        <v/>
      </c>
      <c r="C206" s="8" t="n">
        <f aca="false">COUNTIFS('Votes (table)'!$C$2:$C$1000,A206,'Votes (table)'!$E$2:$E$1000,"oui")</f>
        <v>0</v>
      </c>
      <c r="D206" s="8" t="n">
        <f aca="false">COUNTIFS('Votes (table)'!$C$2:$C$1000,A206,'Votes (table)'!$E$2:$E$1000,"non")</f>
        <v>0</v>
      </c>
      <c r="E206" s="8" t="n">
        <f aca="false">COUNTIFS('Votes (table)'!$C$2:$C$1000,A206,'Votes (table)'!$E$2:$E$1000,"blanc")</f>
        <v>0</v>
      </c>
      <c r="F206" s="8" t="n">
        <f aca="false">SUM(C206:E206)</f>
        <v>0</v>
      </c>
    </row>
    <row r="207" customFormat="false" ht="15" hidden="false" customHeight="false" outlineLevel="0" collapsed="false">
      <c r="A207" s="9" t="n">
        <v>46493</v>
      </c>
      <c r="B207" s="8" t="str">
        <f aca="false">T(INDEX('Vote du jour'!$F$2:$F$223,MATCH(A207,'Vote du jour'!$B$2:$B$223,0)))</f>
        <v/>
      </c>
      <c r="C207" s="8" t="n">
        <f aca="false">COUNTIFS('Votes (table)'!$C$2:$C$1000,A207,'Votes (table)'!$E$2:$E$1000,"oui")</f>
        <v>0</v>
      </c>
      <c r="D207" s="8" t="n">
        <f aca="false">COUNTIFS('Votes (table)'!$C$2:$C$1000,A207,'Votes (table)'!$E$2:$E$1000,"non")</f>
        <v>0</v>
      </c>
      <c r="E207" s="8" t="n">
        <f aca="false">COUNTIFS('Votes (table)'!$C$2:$C$1000,A207,'Votes (table)'!$E$2:$E$1000,"blanc")</f>
        <v>0</v>
      </c>
      <c r="F207" s="8" t="n">
        <f aca="false">SUM(C207:E207)</f>
        <v>0</v>
      </c>
    </row>
    <row r="208" customFormat="false" ht="15" hidden="false" customHeight="false" outlineLevel="0" collapsed="false">
      <c r="A208" s="9" t="n">
        <v>46494</v>
      </c>
      <c r="B208" s="8" t="str">
        <f aca="false">T(INDEX('Vote du jour'!$F$2:$F$223,MATCH(A208,'Vote du jour'!$B$2:$B$223,0)))</f>
        <v/>
      </c>
      <c r="C208" s="8" t="n">
        <f aca="false">COUNTIFS('Votes (table)'!$C$2:$C$1000,A208,'Votes (table)'!$E$2:$E$1000,"oui")</f>
        <v>0</v>
      </c>
      <c r="D208" s="8" t="n">
        <f aca="false">COUNTIFS('Votes (table)'!$C$2:$C$1000,A208,'Votes (table)'!$E$2:$E$1000,"non")</f>
        <v>0</v>
      </c>
      <c r="E208" s="8" t="n">
        <f aca="false">COUNTIFS('Votes (table)'!$C$2:$C$1000,A208,'Votes (table)'!$E$2:$E$1000,"blanc")</f>
        <v>0</v>
      </c>
      <c r="F208" s="8" t="n">
        <f aca="false">SUM(C208:E208)</f>
        <v>0</v>
      </c>
    </row>
    <row r="209" customFormat="false" ht="15" hidden="false" customHeight="false" outlineLevel="0" collapsed="false">
      <c r="A209" s="9" t="n">
        <v>46495</v>
      </c>
      <c r="B209" s="8" t="str">
        <f aca="false">T(INDEX('Vote du jour'!$F$2:$F$223,MATCH(A209,'Vote du jour'!$B$2:$B$223,0)))</f>
        <v/>
      </c>
      <c r="C209" s="8" t="n">
        <f aca="false">COUNTIFS('Votes (table)'!$C$2:$C$1000,A209,'Votes (table)'!$E$2:$E$1000,"oui")</f>
        <v>0</v>
      </c>
      <c r="D209" s="8" t="n">
        <f aca="false">COUNTIFS('Votes (table)'!$C$2:$C$1000,A209,'Votes (table)'!$E$2:$E$1000,"non")</f>
        <v>0</v>
      </c>
      <c r="E209" s="8" t="n">
        <f aca="false">COUNTIFS('Votes (table)'!$C$2:$C$1000,A209,'Votes (table)'!$E$2:$E$1000,"blanc")</f>
        <v>0</v>
      </c>
      <c r="F209" s="8" t="n">
        <f aca="false">SUM(C209:E209)</f>
        <v>0</v>
      </c>
    </row>
    <row r="210" customFormat="false" ht="15" hidden="false" customHeight="false" outlineLevel="0" collapsed="false">
      <c r="A210" s="9" t="n">
        <v>46496</v>
      </c>
      <c r="B210" s="8" t="str">
        <f aca="false">T(INDEX('Vote du jour'!$F$2:$F$223,MATCH(A210,'Vote du jour'!$B$2:$B$223,0)))</f>
        <v/>
      </c>
      <c r="C210" s="8" t="n">
        <f aca="false">COUNTIFS('Votes (table)'!$C$2:$C$1000,A210,'Votes (table)'!$E$2:$E$1000,"oui")</f>
        <v>0</v>
      </c>
      <c r="D210" s="8" t="n">
        <f aca="false">COUNTIFS('Votes (table)'!$C$2:$C$1000,A210,'Votes (table)'!$E$2:$E$1000,"non")</f>
        <v>0</v>
      </c>
      <c r="E210" s="8" t="n">
        <f aca="false">COUNTIFS('Votes (table)'!$C$2:$C$1000,A210,'Votes (table)'!$E$2:$E$1000,"blanc")</f>
        <v>0</v>
      </c>
      <c r="F210" s="8" t="n">
        <f aca="false">SUM(C210:E210)</f>
        <v>0</v>
      </c>
    </row>
    <row r="211" customFormat="false" ht="15" hidden="false" customHeight="false" outlineLevel="0" collapsed="false">
      <c r="A211" s="9" t="n">
        <v>46497</v>
      </c>
      <c r="B211" s="8" t="str">
        <f aca="false">T(INDEX('Vote du jour'!$F$2:$F$223,MATCH(A211,'Vote du jour'!$B$2:$B$223,0)))</f>
        <v/>
      </c>
      <c r="C211" s="8" t="n">
        <f aca="false">COUNTIFS('Votes (table)'!$C$2:$C$1000,A211,'Votes (table)'!$E$2:$E$1000,"oui")</f>
        <v>0</v>
      </c>
      <c r="D211" s="8" t="n">
        <f aca="false">COUNTIFS('Votes (table)'!$C$2:$C$1000,A211,'Votes (table)'!$E$2:$E$1000,"non")</f>
        <v>0</v>
      </c>
      <c r="E211" s="8" t="n">
        <f aca="false">COUNTIFS('Votes (table)'!$C$2:$C$1000,A211,'Votes (table)'!$E$2:$E$1000,"blanc")</f>
        <v>0</v>
      </c>
      <c r="F211" s="8" t="n">
        <f aca="false">SUM(C211:E211)</f>
        <v>0</v>
      </c>
    </row>
    <row r="212" customFormat="false" ht="15" hidden="false" customHeight="false" outlineLevel="0" collapsed="false">
      <c r="A212" s="9" t="n">
        <v>46498</v>
      </c>
      <c r="B212" s="8" t="str">
        <f aca="false">T(INDEX('Vote du jour'!$F$2:$F$223,MATCH(A212,'Vote du jour'!$B$2:$B$223,0)))</f>
        <v/>
      </c>
      <c r="C212" s="8" t="n">
        <f aca="false">COUNTIFS('Votes (table)'!$C$2:$C$1000,A212,'Votes (table)'!$E$2:$E$1000,"oui")</f>
        <v>0</v>
      </c>
      <c r="D212" s="8" t="n">
        <f aca="false">COUNTIFS('Votes (table)'!$C$2:$C$1000,A212,'Votes (table)'!$E$2:$E$1000,"non")</f>
        <v>0</v>
      </c>
      <c r="E212" s="8" t="n">
        <f aca="false">COUNTIFS('Votes (table)'!$C$2:$C$1000,A212,'Votes (table)'!$E$2:$E$1000,"blanc")</f>
        <v>0</v>
      </c>
      <c r="F212" s="8" t="n">
        <f aca="false">SUM(C212:E212)</f>
        <v>0</v>
      </c>
    </row>
    <row r="213" customFormat="false" ht="15" hidden="false" customHeight="false" outlineLevel="0" collapsed="false">
      <c r="A213" s="9" t="n">
        <v>46499</v>
      </c>
      <c r="B213" s="8" t="str">
        <f aca="false">T(INDEX('Vote du jour'!$F$2:$F$223,MATCH(A213,'Vote du jour'!$B$2:$B$223,0)))</f>
        <v/>
      </c>
      <c r="C213" s="8" t="n">
        <f aca="false">COUNTIFS('Votes (table)'!$C$2:$C$1000,A213,'Votes (table)'!$E$2:$E$1000,"oui")</f>
        <v>0</v>
      </c>
      <c r="D213" s="8" t="n">
        <f aca="false">COUNTIFS('Votes (table)'!$C$2:$C$1000,A213,'Votes (table)'!$E$2:$E$1000,"non")</f>
        <v>0</v>
      </c>
      <c r="E213" s="8" t="n">
        <f aca="false">COUNTIFS('Votes (table)'!$C$2:$C$1000,A213,'Votes (table)'!$E$2:$E$1000,"blanc")</f>
        <v>0</v>
      </c>
      <c r="F213" s="8" t="n">
        <f aca="false">SUM(C213:E213)</f>
        <v>0</v>
      </c>
    </row>
    <row r="214" customFormat="false" ht="15" hidden="false" customHeight="false" outlineLevel="0" collapsed="false">
      <c r="A214" s="9" t="n">
        <v>46500</v>
      </c>
      <c r="B214" s="8" t="str">
        <f aca="false">T(INDEX('Vote du jour'!$F$2:$F$223,MATCH(A214,'Vote du jour'!$B$2:$B$223,0)))</f>
        <v/>
      </c>
      <c r="C214" s="8" t="n">
        <f aca="false">COUNTIFS('Votes (table)'!$C$2:$C$1000,A214,'Votes (table)'!$E$2:$E$1000,"oui")</f>
        <v>0</v>
      </c>
      <c r="D214" s="8" t="n">
        <f aca="false">COUNTIFS('Votes (table)'!$C$2:$C$1000,A214,'Votes (table)'!$E$2:$E$1000,"non")</f>
        <v>0</v>
      </c>
      <c r="E214" s="8" t="n">
        <f aca="false">COUNTIFS('Votes (table)'!$C$2:$C$1000,A214,'Votes (table)'!$E$2:$E$1000,"blanc")</f>
        <v>0</v>
      </c>
      <c r="F214" s="8" t="n">
        <f aca="false">SUM(C214:E214)</f>
        <v>0</v>
      </c>
    </row>
    <row r="215" customFormat="false" ht="15" hidden="false" customHeight="false" outlineLevel="0" collapsed="false">
      <c r="A215" s="9" t="n">
        <v>46501</v>
      </c>
      <c r="B215" s="8" t="str">
        <f aca="false">T(INDEX('Vote du jour'!$F$2:$F$223,MATCH(A215,'Vote du jour'!$B$2:$B$223,0)))</f>
        <v/>
      </c>
      <c r="C215" s="8" t="n">
        <f aca="false">COUNTIFS('Votes (table)'!$C$2:$C$1000,A215,'Votes (table)'!$E$2:$E$1000,"oui")</f>
        <v>0</v>
      </c>
      <c r="D215" s="8" t="n">
        <f aca="false">COUNTIFS('Votes (table)'!$C$2:$C$1000,A215,'Votes (table)'!$E$2:$E$1000,"non")</f>
        <v>0</v>
      </c>
      <c r="E215" s="8" t="n">
        <f aca="false">COUNTIFS('Votes (table)'!$C$2:$C$1000,A215,'Votes (table)'!$E$2:$E$1000,"blanc")</f>
        <v>0</v>
      </c>
      <c r="F215" s="8" t="n">
        <f aca="false">SUM(C215:E215)</f>
        <v>0</v>
      </c>
    </row>
    <row r="216" customFormat="false" ht="15" hidden="false" customHeight="false" outlineLevel="0" collapsed="false">
      <c r="A216" s="9" t="n">
        <v>46502</v>
      </c>
      <c r="B216" s="8" t="str">
        <f aca="false">T(INDEX('Vote du jour'!$F$2:$F$223,MATCH(A216,'Vote du jour'!$B$2:$B$223,0)))</f>
        <v/>
      </c>
      <c r="C216" s="8" t="n">
        <f aca="false">COUNTIFS('Votes (table)'!$C$2:$C$1000,A216,'Votes (table)'!$E$2:$E$1000,"oui")</f>
        <v>0</v>
      </c>
      <c r="D216" s="8" t="n">
        <f aca="false">COUNTIFS('Votes (table)'!$C$2:$C$1000,A216,'Votes (table)'!$E$2:$E$1000,"non")</f>
        <v>0</v>
      </c>
      <c r="E216" s="8" t="n">
        <f aca="false">COUNTIFS('Votes (table)'!$C$2:$C$1000,A216,'Votes (table)'!$E$2:$E$1000,"blanc")</f>
        <v>0</v>
      </c>
      <c r="F216" s="8" t="n">
        <f aca="false">SUM(C216:E216)</f>
        <v>0</v>
      </c>
    </row>
    <row r="217" customFormat="false" ht="15" hidden="false" customHeight="false" outlineLevel="0" collapsed="false">
      <c r="A217" s="9" t="n">
        <v>46503</v>
      </c>
      <c r="B217" s="8" t="str">
        <f aca="false">T(INDEX('Vote du jour'!$F$2:$F$223,MATCH(A217,'Vote du jour'!$B$2:$B$223,0)))</f>
        <v/>
      </c>
      <c r="C217" s="8" t="n">
        <f aca="false">COUNTIFS('Votes (table)'!$C$2:$C$1000,A217,'Votes (table)'!$E$2:$E$1000,"oui")</f>
        <v>0</v>
      </c>
      <c r="D217" s="8" t="n">
        <f aca="false">COUNTIFS('Votes (table)'!$C$2:$C$1000,A217,'Votes (table)'!$E$2:$E$1000,"non")</f>
        <v>0</v>
      </c>
      <c r="E217" s="8" t="n">
        <f aca="false">COUNTIFS('Votes (table)'!$C$2:$C$1000,A217,'Votes (table)'!$E$2:$E$1000,"blanc")</f>
        <v>0</v>
      </c>
      <c r="F217" s="8" t="n">
        <f aca="false">SUM(C217:E217)</f>
        <v>0</v>
      </c>
    </row>
    <row r="218" customFormat="false" ht="15" hidden="false" customHeight="false" outlineLevel="0" collapsed="false">
      <c r="A218" s="9" t="n">
        <v>46504</v>
      </c>
      <c r="B218" s="8" t="str">
        <f aca="false">T(INDEX('Vote du jour'!$F$2:$F$223,MATCH(A218,'Vote du jour'!$B$2:$B$223,0)))</f>
        <v/>
      </c>
      <c r="C218" s="8" t="n">
        <f aca="false">COUNTIFS('Votes (table)'!$C$2:$C$1000,A218,'Votes (table)'!$E$2:$E$1000,"oui")</f>
        <v>0</v>
      </c>
      <c r="D218" s="8" t="n">
        <f aca="false">COUNTIFS('Votes (table)'!$C$2:$C$1000,A218,'Votes (table)'!$E$2:$E$1000,"non")</f>
        <v>0</v>
      </c>
      <c r="E218" s="8" t="n">
        <f aca="false">COUNTIFS('Votes (table)'!$C$2:$C$1000,A218,'Votes (table)'!$E$2:$E$1000,"blanc")</f>
        <v>0</v>
      </c>
      <c r="F218" s="8" t="n">
        <f aca="false">SUM(C218:E218)</f>
        <v>0</v>
      </c>
    </row>
    <row r="219" customFormat="false" ht="15" hidden="false" customHeight="false" outlineLevel="0" collapsed="false">
      <c r="A219" s="9" t="n">
        <v>46505</v>
      </c>
      <c r="B219" s="8" t="str">
        <f aca="false">T(INDEX('Vote du jour'!$F$2:$F$223,MATCH(A219,'Vote du jour'!$B$2:$B$223,0)))</f>
        <v/>
      </c>
      <c r="C219" s="8" t="n">
        <f aca="false">COUNTIFS('Votes (table)'!$C$2:$C$1000,A219,'Votes (table)'!$E$2:$E$1000,"oui")</f>
        <v>0</v>
      </c>
      <c r="D219" s="8" t="n">
        <f aca="false">COUNTIFS('Votes (table)'!$C$2:$C$1000,A219,'Votes (table)'!$E$2:$E$1000,"non")</f>
        <v>0</v>
      </c>
      <c r="E219" s="8" t="n">
        <f aca="false">COUNTIFS('Votes (table)'!$C$2:$C$1000,A219,'Votes (table)'!$E$2:$E$1000,"blanc")</f>
        <v>0</v>
      </c>
      <c r="F219" s="8" t="n">
        <f aca="false">SUM(C219:E219)</f>
        <v>0</v>
      </c>
    </row>
    <row r="220" customFormat="false" ht="15" hidden="false" customHeight="false" outlineLevel="0" collapsed="false">
      <c r="A220" s="9" t="n">
        <v>46506</v>
      </c>
      <c r="B220" s="8" t="str">
        <f aca="false">T(INDEX('Vote du jour'!$F$2:$F$223,MATCH(A220,'Vote du jour'!$B$2:$B$223,0)))</f>
        <v/>
      </c>
      <c r="C220" s="8" t="n">
        <f aca="false">COUNTIFS('Votes (table)'!$C$2:$C$1000,A220,'Votes (table)'!$E$2:$E$1000,"oui")</f>
        <v>0</v>
      </c>
      <c r="D220" s="8" t="n">
        <f aca="false">COUNTIFS('Votes (table)'!$C$2:$C$1000,A220,'Votes (table)'!$E$2:$E$1000,"non")</f>
        <v>0</v>
      </c>
      <c r="E220" s="8" t="n">
        <f aca="false">COUNTIFS('Votes (table)'!$C$2:$C$1000,A220,'Votes (table)'!$E$2:$E$1000,"blanc")</f>
        <v>0</v>
      </c>
      <c r="F220" s="8" t="n">
        <f aca="false">SUM(C220:E220)</f>
        <v>0</v>
      </c>
    </row>
    <row r="221" customFormat="false" ht="15" hidden="false" customHeight="false" outlineLevel="0" collapsed="false">
      <c r="A221" s="9" t="n">
        <v>46507</v>
      </c>
      <c r="B221" s="8" t="str">
        <f aca="false">T(INDEX('Vote du jour'!$F$2:$F$223,MATCH(A221,'Vote du jour'!$B$2:$B$223,0)))</f>
        <v/>
      </c>
      <c r="C221" s="8" t="n">
        <f aca="false">COUNTIFS('Votes (table)'!$C$2:$C$1000,A221,'Votes (table)'!$E$2:$E$1000,"oui")</f>
        <v>0</v>
      </c>
      <c r="D221" s="8" t="n">
        <f aca="false">COUNTIFS('Votes (table)'!$C$2:$C$1000,A221,'Votes (table)'!$E$2:$E$1000,"non")</f>
        <v>0</v>
      </c>
      <c r="E221" s="8" t="n">
        <f aca="false">COUNTIFS('Votes (table)'!$C$2:$C$1000,A221,'Votes (table)'!$E$2:$E$1000,"blanc")</f>
        <v>0</v>
      </c>
      <c r="F221" s="8" t="n">
        <f aca="false">SUM(C221:E221)</f>
        <v>0</v>
      </c>
    </row>
    <row r="222" customFormat="false" ht="15" hidden="false" customHeight="false" outlineLevel="0" collapsed="false">
      <c r="A222" s="9" t="n">
        <v>46508</v>
      </c>
      <c r="B222" s="8" t="str">
        <f aca="false">T(INDEX('Vote du jour'!$F$2:$F$223,MATCH(A222,'Vote du jour'!$B$2:$B$223,0)))</f>
        <v/>
      </c>
      <c r="C222" s="8" t="n">
        <f aca="false">COUNTIFS('Votes (table)'!$C$2:$C$1000,A222,'Votes (table)'!$E$2:$E$1000,"oui")</f>
        <v>0</v>
      </c>
      <c r="D222" s="8" t="n">
        <f aca="false">COUNTIFS('Votes (table)'!$C$2:$C$1000,A222,'Votes (table)'!$E$2:$E$1000,"non")</f>
        <v>0</v>
      </c>
      <c r="E222" s="8" t="n">
        <f aca="false">COUNTIFS('Votes (table)'!$C$2:$C$1000,A222,'Votes (table)'!$E$2:$E$1000,"blanc")</f>
        <v>0</v>
      </c>
      <c r="F222" s="8" t="n">
        <f aca="false">SUM(C222:E222)</f>
        <v>0</v>
      </c>
    </row>
    <row r="223" customFormat="false" ht="15" hidden="false" customHeight="false" outlineLevel="0" collapsed="false">
      <c r="A223" s="9" t="n">
        <v>46509</v>
      </c>
      <c r="B223" s="8" t="str">
        <f aca="false">T(INDEX('Vote du jour'!$F$2:$F$223,MATCH(A223,'Vote du jour'!$B$2:$B$223,0)))</f>
        <v/>
      </c>
      <c r="C223" s="8" t="n">
        <f aca="false">COUNTIFS('Votes (table)'!$C$2:$C$1000,A223,'Votes (table)'!$E$2:$E$1000,"oui")</f>
        <v>0</v>
      </c>
      <c r="D223" s="8" t="n">
        <f aca="false">COUNTIFS('Votes (table)'!$C$2:$C$1000,A223,'Votes (table)'!$E$2:$E$1000,"non")</f>
        <v>0</v>
      </c>
      <c r="E223" s="8" t="n">
        <f aca="false">COUNTIFS('Votes (table)'!$C$2:$C$1000,A223,'Votes (table)'!$E$2:$E$1000,"blanc")</f>
        <v>0</v>
      </c>
      <c r="F223" s="8" t="n">
        <f aca="false">SUM(C223:E223)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2026-09-23T18:38:32Z</dcterms:created>
  <dc:creator>openpyxl</dc:creator>
  <dc:description/>
  <dc:language>en-US</dc:language>
  <cp:lastModifiedBy/>
  <dcterms:modified xsi:type="dcterms:W3CDTF">2026-09-23T18:38:32Z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